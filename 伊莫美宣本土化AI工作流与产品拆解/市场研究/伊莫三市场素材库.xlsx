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acb47ee78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市场素材库" sheetId="1" r:id="R6911e43ae19a45d2"/>
    <x:sheet xmlns:r="http://schemas.openxmlformats.org/officeDocument/2006/relationships" name="市场摘要" sheetId="2" r:id="R2d5a34f927064ecd"/>
    <x:sheet xmlns:r="http://schemas.openxmlformats.org/officeDocument/2006/relationships" name="编码字典" sheetId="3" r:id="R08f005ca8cfe431d"/>
    <x:sheet xmlns:r="http://schemas.openxmlformats.org/officeDocument/2006/relationships" name="来源说明" sheetId="4" r:id="Rf3efffb81a79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"/>
  </x:numFmts>
  <x:fonts count="8">
    <x:font>
      <x:sz val="11"/>
      <x:name val="Carlito"/>
    </x:font>
    <x:font>
      <x:b/>
      <x:sz val="18"/>
      <x:color rgb="FF000000"/>
      <x:name val="Arial"/>
    </x:font>
    <x:font>
      <x:i/>
      <x:sz val="10"/>
      <x:color rgb="FF666666"/>
      <x:name val="Arial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18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3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6" fillId="0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right" vertical="center" wrapText="1"/>
    </x:xf>
    <x:xf numFmtId="200" fontId="6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202" fontId="6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f8be8de92434e" /><Relationship Type="http://schemas.openxmlformats.org/officeDocument/2006/relationships/theme" Target="/xl/theme/theme1.xml" Id="R9527648bdbc94917" /><Relationship Type="http://schemas.openxmlformats.org/officeDocument/2006/relationships/sharedStrings" Target="/xl/sharedStrings.xml" Id="R1a10c8b5b9f34519" /><Relationship Type="http://schemas.openxmlformats.org/officeDocument/2006/relationships/worksheet" Target="/xl/worksheets/sheet1.xml" Id="R6911e43ae19a45d2" /><Relationship Type="http://schemas.openxmlformats.org/officeDocument/2006/relationships/worksheet" Target="/xl/worksheets/sheet2.xml" Id="R2d5a34f927064ecd" /><Relationship Type="http://schemas.openxmlformats.org/officeDocument/2006/relationships/worksheet" Target="/xl/worksheets/sheet3.xml" Id="R08f005ca8cfe431d" /><Relationship Type="http://schemas.openxmlformats.org/officeDocument/2006/relationships/worksheet" Target="/xl/worksheets/sheet4.xml" Id="Rf3efffb81a79426a" /></Relationships>
</file>

<file path=xl/tables/table1.xml><?xml version="1.0" encoding="utf-8"?>
<x:table xmlns:x="http://schemas.openxmlformats.org/spreadsheetml/2006/main" id="1" name="MarketMaterialsTable" displayName="MarketMaterialsTable" ref="A4:Q64" headerRowCount="1" totalsRowCount="0" totalsRowShown="0">
  <x:tableColumns count="17">
    <x:tableColumn id="1" name="编号"/>
    <x:tableColumn id="2" name="市场"/>
    <x:tableColumn id="3" name="语言版本"/>
    <x:tableColumn id="4" name="产品"/>
    <x:tableColumn id="5" name="素材标题"/>
    <x:tableColumn id="6" name="账号或渠道"/>
    <x:tableColumn id="7" name="来源类型"/>
    <x:tableColumn id="8" name="渠道"/>
    <x:tableColumn id="9" name="素材形式"/>
    <x:tableColumn id="10" name="发布时间显示"/>
    <x:tableColumn id="11" name="时长"/>
    <x:tableColumn id="12" name="公开观看数"/>
    <x:tableColumn id="13" name="核心卖点"/>
    <x:tableColumn id="14" name="互动记录"/>
    <x:tableColumn id="15" name="产品经理编码"/>
    <x:tableColumn id="16" name="来源 URL"/>
    <x:tableColumn id="17" name="采集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864e00b35241a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" hidden="0" customWidth="1"/>
    <x:col min="2" max="2" width="11" hidden="0" customWidth="1"/>
    <x:col min="3" max="3" width="14" hidden="0" customWidth="1"/>
    <x:col min="4" max="4" width="19" hidden="0" customWidth="1"/>
    <x:col min="5" max="5" width="42" hidden="0" customWidth="1"/>
    <x:col min="6" max="6" width="27" hidden="0" customWidth="1"/>
    <x:col min="7" max="7" width="18" hidden="0" customWidth="1"/>
    <x:col min="8" max="8" width="11" hidden="0" customWidth="1"/>
    <x:col min="9" max="9" width="18" hidden="0" customWidth="1"/>
    <x:col min="10" max="10" width="14" hidden="0" customWidth="1"/>
    <x:col min="11" max="11" width="9" hidden="0" customWidth="1"/>
    <x:col min="12" max="12" width="14" hidden="0" customWidth="1"/>
    <x:col min="13" max="13" width="42" hidden="0" customWidth="1"/>
    <x:col min="14" max="14" width="37" hidden="0" customWidth="1"/>
    <x:col min="15" max="15" width="17" hidden="0" customWidth="1"/>
    <x:col min="16" max="16" width="45" hidden="0" customWidth="1"/>
    <x:col min="17" max="17" width="13" hidden="0" customWidth="1"/>
  </x:cols>
  <x:sheetData>
    <x:row r="1" ht="30" customHeight="1">
      <x:c r="A1" s="1" t="str">
        <x:v>三个市场同品类游戏素材库</x:v>
      </x:c>
    </x:row>
    <x:row r="2" ht="24" customHeight="1">
      <x:c r="A2" s="2" t="str">
        <x:v>日本、美国、沙特阿拉伯各 20 条。公开互动数为采集时 YouTube 搜索页显示值，后续会变化。</x:v>
      </x:c>
    </x:row>
    <x:row r="4" ht="30" customHeight="1">
      <x:c r="A4" s="11" t="str">
        <x:v>编号</x:v>
      </x:c>
      <x:c r="B4" s="11" t="str">
        <x:v>市场</x:v>
      </x:c>
      <x:c r="C4" s="11" t="str">
        <x:v>语言版本</x:v>
      </x:c>
      <x:c r="D4" s="11" t="str">
        <x:v>产品</x:v>
      </x:c>
      <x:c r="E4" s="11" t="str">
        <x:v>素材标题</x:v>
      </x:c>
      <x:c r="F4" s="11" t="str">
        <x:v>账号或渠道</x:v>
      </x:c>
      <x:c r="G4" s="11" t="str">
        <x:v>来源类型</x:v>
      </x:c>
      <x:c r="H4" s="11" t="str">
        <x:v>渠道</x:v>
      </x:c>
      <x:c r="I4" s="11" t="str">
        <x:v>素材形式</x:v>
      </x:c>
      <x:c r="J4" s="11" t="str">
        <x:v>发布时间显示</x:v>
      </x:c>
      <x:c r="K4" s="11" t="str">
        <x:v>时长</x:v>
      </x:c>
      <x:c r="L4" s="11" t="str">
        <x:v>公开观看数</x:v>
      </x:c>
      <x:c r="M4" s="11" t="str">
        <x:v>核心卖点</x:v>
      </x:c>
      <x:c r="N4" s="11" t="str">
        <x:v>互动记录</x:v>
      </x:c>
      <x:c r="O4" s="11" t="str">
        <x:v>产品经理编码</x:v>
      </x:c>
      <x:c r="P4" s="11" t="str">
        <x:v>来源 URL</x:v>
      </x:c>
      <x:c r="Q4" s="11" t="str">
        <x:v>采集日期</x:v>
      </x:c>
    </x:row>
    <x:row r="5" ht="48" customHeight="1">
      <x:c r="A5" s="12" t="n">
        <x:v>1</x:v>
      </x:c>
      <x:c r="B5" s="12" t="str">
        <x:v>日本</x:v>
      </x:c>
      <x:c r="C5" s="12" t="str">
        <x:v>日语</x:v>
      </x:c>
      <x:c r="D5" s="12" t="str">
        <x:v>Pokémon</x:v>
      </x:c>
      <x:c r="E5" s="12" t="str">
        <x:v>『ポケットモンスター ウインド・ウェーブ』1st Trailer</x:v>
      </x:c>
      <x:c r="F5" s="12" t="str">
        <x:v>ポケモン公式YouTubeチャンネル</x:v>
      </x:c>
      <x:c r="G5" s="12" t="str">
        <x:v>品牌官方</x:v>
      </x:c>
      <x:c r="H5" s="12" t="str">
        <x:v>YouTube</x:v>
      </x:c>
      <x:c r="I5" s="12" t="str">
        <x:v>产品发布预告</x:v>
      </x:c>
      <x:c r="J5" s="12" t="str">
        <x:v>6 months ago</x:v>
      </x:c>
      <x:c r="K5" s="12" t="str">
        <x:v>3:31</x:v>
      </x:c>
      <x:c r="L5" s="14" t="n">
        <x:v>5600580</x:v>
      </x:c>
      <x:c r="M5" s="12" t="str">
        <x:v>新世代世界与冒险，强调首次公开和探索期待</x:v>
      </x:c>
      <x:c r="N5" s="12" t="str">
        <x:v>5600580 次观看；公开搜索页未稳定提供点赞数</x:v>
      </x:c>
      <x:c r="O5" s="12" t="str">
        <x:v>发布转化</x:v>
      </x:c>
      <x:c r="P5" s="12" t="str">
        <x:v>https://www.youtube.com/watch?v=dKGIw93XTJ0</x:v>
      </x:c>
      <x:c r="Q5" s="16" t="n">
        <x:v>46270</x:v>
      </x:c>
    </x:row>
    <x:row r="6" ht="48" customHeight="1">
      <x:c r="A6" s="13" t="n">
        <x:v>2</x:v>
      </x:c>
      <x:c r="B6" s="13" t="str">
        <x:v>日本</x:v>
      </x:c>
      <x:c r="C6" s="13" t="str">
        <x:v>日语</x:v>
      </x:c>
      <x:c r="D6" s="13" t="str">
        <x:v>Pokémon</x:v>
      </x:c>
      <x:c r="E6" s="13" t="str">
        <x:v>『ぽこ あ ポケモン』紹介映像 2026.03.05</x:v>
      </x:c>
      <x:c r="F6" s="13" t="str">
        <x:v>ポケモン公式YouTubeチャンネル</x:v>
      </x:c>
      <x:c r="G6" s="13" t="str">
        <x:v>品牌官方</x:v>
      </x:c>
      <x:c r="H6" s="13" t="str">
        <x:v>YouTube</x:v>
      </x:c>
      <x:c r="I6" s="13" t="str">
        <x:v>玩法介绍</x:v>
      </x:c>
      <x:c r="J6" s="13" t="str">
        <x:v>6 months ago</x:v>
      </x:c>
      <x:c r="K6" s="13" t="str">
        <x:v>3:23</x:v>
      </x:c>
      <x:c r="L6" s="15" t="n">
        <x:v>1421016</x:v>
      </x:c>
      <x:c r="M6" s="13" t="str">
        <x:v>生活化玩法、可爱角色与轻松陪伴</x:v>
      </x:c>
      <x:c r="N6" s="13" t="str">
        <x:v>1421016 次观看</x:v>
      </x:c>
      <x:c r="O6" s="13" t="str">
        <x:v>玩法证明</x:v>
      </x:c>
      <x:c r="P6" s="13" t="str">
        <x:v>https://www.youtube.com/watch?v=c-xPQJnYnU8</x:v>
      </x:c>
      <x:c r="Q6" s="17" t="n">
        <x:v>46270</x:v>
      </x:c>
    </x:row>
    <x:row r="7" ht="48" customHeight="1">
      <x:c r="A7" s="12" t="n">
        <x:v>3</x:v>
      </x:c>
      <x:c r="B7" s="12" t="str">
        <x:v>日本</x:v>
      </x:c>
      <x:c r="C7" s="12" t="str">
        <x:v>日语</x:v>
      </x:c>
      <x:c r="D7" s="12" t="str">
        <x:v>Pokémon</x:v>
      </x:c>
      <x:c r="E7" s="12" t="str">
        <x:v>『ぽこ あ ポケモン』特別映像</x:v>
      </x:c>
      <x:c r="F7" s="12" t="str">
        <x:v>ポケモン公式YouTubeチャンネル</x:v>
      </x:c>
      <x:c r="G7" s="12" t="str">
        <x:v>品牌官方</x:v>
      </x:c>
      <x:c r="H7" s="12" t="str">
        <x:v>YouTube</x:v>
      </x:c>
      <x:c r="I7" s="12" t="str">
        <x:v>长版特别节目</x:v>
      </x:c>
      <x:c r="J7" s="12" t="str">
        <x:v>9 months ago</x:v>
      </x:c>
      <x:c r="K7" s="12" t="str">
        <x:v>10:35</x:v>
      </x:c>
      <x:c r="L7" s="14" t="n">
        <x:v>3528678</x:v>
      </x:c>
      <x:c r="M7" s="12" t="str">
        <x:v>世界观、角色与玩法组合说明</x:v>
      </x:c>
      <x:c r="N7" s="12" t="str">
        <x:v>3528678 次观看</x:v>
      </x:c>
      <x:c r="O7" s="12" t="str">
        <x:v>发布转化</x:v>
      </x:c>
      <x:c r="P7" s="12" t="str">
        <x:v>https://www.youtube.com/watch?v=vbrs38Vf_jk</x:v>
      </x:c>
      <x:c r="Q7" s="16" t="n">
        <x:v>46270</x:v>
      </x:c>
    </x:row>
    <x:row r="8" ht="48" customHeight="1">
      <x:c r="A8" s="13" t="n">
        <x:v>4</x:v>
      </x:c>
      <x:c r="B8" s="13" t="str">
        <x:v>日本</x:v>
      </x:c>
      <x:c r="C8" s="13" t="str">
        <x:v>日语</x:v>
      </x:c>
      <x:c r="D8" s="13" t="str">
        <x:v>Pokémon</x:v>
      </x:c>
      <x:c r="E8" s="13" t="str">
        <x:v>Pokémon LEGENDS Z-A Nintendo Switch 2 Edition 紹介映像</x:v>
      </x:c>
      <x:c r="F8" s="13" t="str">
        <x:v>Nintendo 公式チャンネル</x:v>
      </x:c>
      <x:c r="G8" s="13" t="str">
        <x:v>平台官方</x:v>
      </x:c>
      <x:c r="H8" s="13" t="str">
        <x:v>YouTube</x:v>
      </x:c>
      <x:c r="I8" s="13" t="str">
        <x:v>平台玩法介绍</x:v>
      </x:c>
      <x:c r="J8" s="13" t="str">
        <x:v>11 months ago</x:v>
      </x:c>
      <x:c r="K8" s="13" t="str">
        <x:v>6:22</x:v>
      </x:c>
      <x:c r="L8" s="15" t="n">
        <x:v>2473701</x:v>
      </x:c>
      <x:c r="M8" s="13" t="str">
        <x:v>主机性能、城市探索与战斗体验</x:v>
      </x:c>
      <x:c r="N8" s="13" t="str">
        <x:v>2473701 次观看</x:v>
      </x:c>
      <x:c r="O8" s="13" t="str">
        <x:v>玩法证明</x:v>
      </x:c>
      <x:c r="P8" s="13" t="str">
        <x:v>https://www.youtube.com/watch?v=_wLh5jX-YFg</x:v>
      </x:c>
      <x:c r="Q8" s="17" t="n">
        <x:v>46270</x:v>
      </x:c>
    </x:row>
    <x:row r="9" ht="48" customHeight="1">
      <x:c r="A9" s="12" t="n">
        <x:v>5</x:v>
      </x:c>
      <x:c r="B9" s="12" t="str">
        <x:v>日本</x:v>
      </x:c>
      <x:c r="C9" s="12" t="str">
        <x:v>日语</x:v>
      </x:c>
      <x:c r="D9" s="12" t="str">
        <x:v>Pokémon</x:v>
      </x:c>
      <x:c r="E9" s="12" t="str">
        <x:v>『Pokémon Champions』メガシンカ登場</x:v>
      </x:c>
      <x:c r="F9" s="12" t="str">
        <x:v>ポケモン公式YouTubeチャンネル</x:v>
      </x:c>
      <x:c r="G9" s="12" t="str">
        <x:v>品牌官方</x:v>
      </x:c>
      <x:c r="H9" s="12" t="str">
        <x:v>YouTube</x:v>
      </x:c>
      <x:c r="I9" s="12" t="str">
        <x:v>功能更新预告</x:v>
      </x:c>
      <x:c r="J9" s="12" t="str">
        <x:v>5 days ago</x:v>
      </x:c>
      <x:c r="K9" s="12" t="str">
        <x:v>1:20</x:v>
      </x:c>
      <x:c r="L9" s="14" t="n">
        <x:v>894973</x:v>
      </x:c>
      <x:c r="M9" s="12" t="str">
        <x:v>竞技机制与稀有形态</x:v>
      </x:c>
      <x:c r="N9" s="12" t="str">
        <x:v>894973 次观看</x:v>
      </x:c>
      <x:c r="O9" s="12" t="str">
        <x:v>发布转化</x:v>
      </x:c>
      <x:c r="P9" s="12" t="str">
        <x:v>https://www.youtube.com/watch?v=A3Byv3mtXOg</x:v>
      </x:c>
      <x:c r="Q9" s="16" t="n">
        <x:v>46270</x:v>
      </x:c>
    </x:row>
    <x:row r="10" ht="48" customHeight="1">
      <x:c r="A10" s="13" t="n">
        <x:v>6</x:v>
      </x:c>
      <x:c r="B10" s="13" t="str">
        <x:v>日本</x:v>
      </x:c>
      <x:c r="C10" s="13" t="str">
        <x:v>日语</x:v>
      </x:c>
      <x:c r="D10" s="13" t="str">
        <x:v>Palworld</x:v>
      </x:c>
      <x:c r="E10" s="13" t="str">
        <x:v>パルワールド ローンチトレーラー</x:v>
      </x:c>
      <x:c r="F10" s="13" t="str">
        <x:v>Pocketpair Palworld</x:v>
      </x:c>
      <x:c r="G10" s="13" t="str">
        <x:v>品牌官方</x:v>
      </x:c>
      <x:c r="H10" s="13" t="str">
        <x:v>YouTube</x:v>
      </x:c>
      <x:c r="I10" s="13" t="str">
        <x:v>上线预告</x:v>
      </x:c>
      <x:c r="J10" s="13" t="str">
        <x:v>1 month ago</x:v>
      </x:c>
      <x:c r="K10" s="13" t="str">
        <x:v>2:33</x:v>
      </x:c>
      <x:c r="L10" s="15" t="n">
        <x:v>1193681</x:v>
      </x:c>
      <x:c r="M10" s="13" t="str">
        <x:v>生物伙伴、开放世界、战斗与建造的完整体验</x:v>
      </x:c>
      <x:c r="N10" s="13" t="str">
        <x:v>1193681 次观看</x:v>
      </x:c>
      <x:c r="O10" s="13" t="str">
        <x:v>发布转化</x:v>
      </x:c>
      <x:c r="P10" s="13" t="str">
        <x:v>https://www.youtube.com/watch?v=1fpGg9wNM9A</x:v>
      </x:c>
      <x:c r="Q10" s="17" t="n">
        <x:v>46270</x:v>
      </x:c>
    </x:row>
    <x:row r="11" ht="48" customHeight="1">
      <x:c r="A11" s="12" t="n">
        <x:v>7</x:v>
      </x:c>
      <x:c r="B11" s="12" t="str">
        <x:v>日本</x:v>
      </x:c>
      <x:c r="C11" s="12" t="str">
        <x:v>日语</x:v>
      </x:c>
      <x:c r="D11" s="12" t="str">
        <x:v>Palworld</x:v>
      </x:c>
      <x:c r="E11" s="12" t="str">
        <x:v>パルワールド 1.0 シネマティックトレーラー</x:v>
      </x:c>
      <x:c r="F11" s="12" t="str">
        <x:v>Pocketpair Palworld</x:v>
      </x:c>
      <x:c r="G11" s="12" t="str">
        <x:v>品牌官方</x:v>
      </x:c>
      <x:c r="H11" s="12" t="str">
        <x:v>YouTube</x:v>
      </x:c>
      <x:c r="I11" s="12" t="str">
        <x:v>品牌剧情预告</x:v>
      </x:c>
      <x:c r="J11" s="12" t="str">
        <x:v>2 months ago</x:v>
      </x:c>
      <x:c r="K11" s="12" t="str">
        <x:v>1:48</x:v>
      </x:c>
      <x:c r="L11" s="14" t="n">
        <x:v>1015409</x:v>
      </x:c>
      <x:c r="M11" s="12" t="str">
        <x:v>世界观、伙伴关系与大规模冒险</x:v>
      </x:c>
      <x:c r="N11" s="12" t="str">
        <x:v>1015409 次观看</x:v>
      </x:c>
      <x:c r="O11" s="12" t="str">
        <x:v>世界观叙事</x:v>
      </x:c>
      <x:c r="P11" s="12" t="str">
        <x:v>https://www.youtube.com/watch?v=gKum7LqFi1s</x:v>
      </x:c>
      <x:c r="Q11" s="16" t="n">
        <x:v>46270</x:v>
      </x:c>
    </x:row>
    <x:row r="12" ht="48" customHeight="1">
      <x:c r="A12" s="13" t="n">
        <x:v>8</x:v>
      </x:c>
      <x:c r="B12" s="13" t="str">
        <x:v>日本</x:v>
      </x:c>
      <x:c r="C12" s="13" t="str">
        <x:v>日语</x:v>
      </x:c>
      <x:c r="D12" s="13" t="str">
        <x:v>Palworld</x:v>
      </x:c>
      <x:c r="E12" s="13" t="str">
        <x:v>ゲームプレビュー ローンチトレーラー</x:v>
      </x:c>
      <x:c r="F12" s="13" t="str">
        <x:v>XBOX Japan</x:v>
      </x:c>
      <x:c r="G12" s="13" t="str">
        <x:v>平台官方</x:v>
      </x:c>
      <x:c r="H12" s="13" t="str">
        <x:v>YouTube</x:v>
      </x:c>
      <x:c r="I12" s="13" t="str">
        <x:v>玩法上线预告</x:v>
      </x:c>
      <x:c r="J12" s="13" t="str">
        <x:v>2 years ago</x:v>
      </x:c>
      <x:c r="K12" s="13" t="str">
        <x:v>3:09</x:v>
      </x:c>
      <x:c r="L12" s="15" t="n">
        <x:v>151557</x:v>
      </x:c>
      <x:c r="M12" s="13" t="str">
        <x:v>真实玩法、多人、生存与建造</x:v>
      </x:c>
      <x:c r="N12" s="13" t="str">
        <x:v>151557 次观看</x:v>
      </x:c>
      <x:c r="O12" s="13" t="str">
        <x:v>玩法证明</x:v>
      </x:c>
      <x:c r="P12" s="13" t="str">
        <x:v>https://www.youtube.com/watch?v=N95FqMJr1xY</x:v>
      </x:c>
      <x:c r="Q12" s="17" t="n">
        <x:v>46270</x:v>
      </x:c>
    </x:row>
    <x:row r="13" ht="48" customHeight="1">
      <x:c r="A13" s="12" t="n">
        <x:v>9</x:v>
      </x:c>
      <x:c r="B13" s="12" t="str">
        <x:v>日本</x:v>
      </x:c>
      <x:c r="C13" s="12" t="str">
        <x:v>日语</x:v>
      </x:c>
      <x:c r="D13" s="12" t="str">
        <x:v>Palworld</x:v>
      </x:c>
      <x:c r="E13" s="12" t="str">
        <x:v>パルファーム 1st トレーラー</x:v>
      </x:c>
      <x:c r="F13" s="12" t="str">
        <x:v>Pocketpair Palworld</x:v>
      </x:c>
      <x:c r="G13" s="12" t="str">
        <x:v>品牌官方</x:v>
      </x:c>
      <x:c r="H13" s="12" t="str">
        <x:v>YouTube</x:v>
      </x:c>
      <x:c r="I13" s="12" t="str">
        <x:v>衍生产品预告</x:v>
      </x:c>
      <x:c r="J13" s="12" t="str">
        <x:v>11 months ago</x:v>
      </x:c>
      <x:c r="K13" s="12" t="str">
        <x:v>1:57</x:v>
      </x:c>
      <x:c r="L13" s="14" t="n">
        <x:v>3401600</x:v>
      </x:c>
      <x:c r="M13" s="12" t="str">
        <x:v>农场生活、可爱生物与轻量陪伴</x:v>
      </x:c>
      <x:c r="N13" s="12" t="str">
        <x:v>3401600 次观看</x:v>
      </x:c>
      <x:c r="O13" s="12" t="str">
        <x:v>发布转化</x:v>
      </x:c>
      <x:c r="P13" s="12" t="str">
        <x:v>https://www.youtube.com/watch?v=AmurGwwjvGM</x:v>
      </x:c>
      <x:c r="Q13" s="16" t="n">
        <x:v>46270</x:v>
      </x:c>
    </x:row>
    <x:row r="14" ht="48" customHeight="1">
      <x:c r="A14" s="13" t="n">
        <x:v>10</x:v>
      </x:c>
      <x:c r="B14" s="13" t="str">
        <x:v>日本</x:v>
      </x:c>
      <x:c r="C14" s="13" t="str">
        <x:v>日语</x:v>
      </x:c>
      <x:c r="D14" s="13" t="str">
        <x:v>Palworld</x:v>
      </x:c>
      <x:c r="E14" s="13" t="str">
        <x:v>桜島アップデート発表トレーラー</x:v>
      </x:c>
      <x:c r="F14" s="13" t="str">
        <x:v>Pocketpair Palworld</x:v>
      </x:c>
      <x:c r="G14" s="13" t="str">
        <x:v>品牌官方</x:v>
      </x:c>
      <x:c r="H14" s="13" t="str">
        <x:v>YouTube</x:v>
      </x:c>
      <x:c r="I14" s="13" t="str">
        <x:v>版本更新预告</x:v>
      </x:c>
      <x:c r="J14" s="13" t="str">
        <x:v>2 years ago</x:v>
      </x:c>
      <x:c r="K14" s="13" t="str">
        <x:v>1:31</x:v>
      </x:c>
      <x:c r="L14" s="15" t="n">
        <x:v>444456</x:v>
      </x:c>
      <x:c r="M14" s="13" t="str">
        <x:v>新区域、新伙伴与持续运营内容</x:v>
      </x:c>
      <x:c r="N14" s="13" t="str">
        <x:v>444456 次观看</x:v>
      </x:c>
      <x:c r="O14" s="13" t="str">
        <x:v>长期运营</x:v>
      </x:c>
      <x:c r="P14" s="13" t="str">
        <x:v>https://www.youtube.com/watch?v=fKzLdPZr2Fk</x:v>
      </x:c>
      <x:c r="Q14" s="17" t="n">
        <x:v>46270</x:v>
      </x:c>
    </x:row>
    <x:row r="15" ht="48" customHeight="1">
      <x:c r="A15" s="12" t="n">
        <x:v>11</x:v>
      </x:c>
      <x:c r="B15" s="12" t="str">
        <x:v>日本</x:v>
      </x:c>
      <x:c r="C15" s="12" t="str">
        <x:v>日语</x:v>
      </x:c>
      <x:c r="D15" s="12" t="str">
        <x:v>Genshin Impact</x:v>
      </x:c>
      <x:c r="E15" s="12" t="str">
        <x:v>The Final Gift Animated Short JP Voiced</x:v>
      </x:c>
      <x:c r="F15" s="12" t="str">
        <x:v>原神-Genshin-公式</x:v>
      </x:c>
      <x:c r="G15" s="12" t="str">
        <x:v>品牌官方</x:v>
      </x:c>
      <x:c r="H15" s="12" t="str">
        <x:v>YouTube</x:v>
      </x:c>
      <x:c r="I15" s="12" t="str">
        <x:v>角色动画短片</x:v>
      </x:c>
      <x:c r="J15" s="12" t="str">
        <x:v>2 months ago</x:v>
      </x:c>
      <x:c r="K15" s="12" t="str">
        <x:v>7:45</x:v>
      </x:c>
      <x:c r="L15" s="14" t="n">
        <x:v>1168153</x:v>
      </x:c>
      <x:c r="M15" s="12" t="str">
        <x:v>角色关系、情绪和世界观叙事</x:v>
      </x:c>
      <x:c r="N15" s="12" t="str">
        <x:v>1168153 次观看</x:v>
      </x:c>
      <x:c r="O15" s="12" t="str">
        <x:v>角色与IP</x:v>
      </x:c>
      <x:c r="P15" s="12" t="str">
        <x:v>https://www.youtube.com/watch?v=FRhHK_d6tD8</x:v>
      </x:c>
      <x:c r="Q15" s="16" t="n">
        <x:v>46270</x:v>
      </x:c>
    </x:row>
    <x:row r="16" ht="48" customHeight="1">
      <x:c r="A16" s="13" t="n">
        <x:v>12</x:v>
      </x:c>
      <x:c r="B16" s="13" t="str">
        <x:v>日本</x:v>
      </x:c>
      <x:c r="C16" s="13" t="str">
        <x:v>日语</x:v>
      </x:c>
      <x:c r="D16" s="13" t="str">
        <x:v>Genshin Impact</x:v>
      </x:c>
      <x:c r="E16" s="13" t="str">
        <x:v>Version 4.2 Masquerade of the Guilty Trailer</x:v>
      </x:c>
      <x:c r="F16" s="13" t="str">
        <x:v>原神-Genshin-公式</x:v>
      </x:c>
      <x:c r="G16" s="13" t="str">
        <x:v>品牌官方</x:v>
      </x:c>
      <x:c r="H16" s="13" t="str">
        <x:v>YouTube</x:v>
      </x:c>
      <x:c r="I16" s="13" t="str">
        <x:v>版本预告</x:v>
      </x:c>
      <x:c r="J16" s="13" t="str">
        <x:v>2 years ago</x:v>
      </x:c>
      <x:c r="K16" s="13" t="str">
        <x:v>4:29</x:v>
      </x:c>
      <x:c r="L16" s="15" t="n">
        <x:v>2104801</x:v>
      </x:c>
      <x:c r="M16" s="13" t="str">
        <x:v>新剧情、新角色和版本内容密度</x:v>
      </x:c>
      <x:c r="N16" s="13" t="str">
        <x:v>2104801 次观看</x:v>
      </x:c>
      <x:c r="O16" s="13" t="str">
        <x:v>长期运营</x:v>
      </x:c>
      <x:c r="P16" s="13" t="str">
        <x:v>https://www.youtube.com/watch?v=gnG7XjEFnm4</x:v>
      </x:c>
      <x:c r="Q16" s="17" t="n">
        <x:v>46270</x:v>
      </x:c>
    </x:row>
    <x:row r="17" ht="48" customHeight="1">
      <x:c r="A17" s="12" t="n">
        <x:v>13</x:v>
      </x:c>
      <x:c r="B17" s="12" t="str">
        <x:v>日本</x:v>
      </x:c>
      <x:c r="C17" s="12" t="str">
        <x:v>日语</x:v>
      </x:c>
      <x:c r="D17" s="12" t="str">
        <x:v>Genshin Impact</x:v>
      </x:c>
      <x:c r="E17" s="12" t="str">
        <x:v>The Song Burning in the Embers JP Voiced</x:v>
      </x:c>
      <x:c r="F17" s="12" t="str">
        <x:v>原神-Genshin-公式</x:v>
      </x:c>
      <x:c r="G17" s="12" t="str">
        <x:v>品牌官方</x:v>
      </x:c>
      <x:c r="H17" s="12" t="str">
        <x:v>YouTube</x:v>
      </x:c>
      <x:c r="I17" s="12" t="str">
        <x:v>角色动画短片</x:v>
      </x:c>
      <x:c r="J17" s="12" t="str">
        <x:v>2 years ago</x:v>
      </x:c>
      <x:c r="K17" s="12" t="str">
        <x:v>7:05</x:v>
      </x:c>
      <x:c r="L17" s="14" t="n">
        <x:v>4661577</x:v>
      </x:c>
      <x:c r="M17" s="12" t="str">
        <x:v>高制作角色叙事与情绪共鸣</x:v>
      </x:c>
      <x:c r="N17" s="12" t="str">
        <x:v>4661577 次观看</x:v>
      </x:c>
      <x:c r="O17" s="12" t="str">
        <x:v>角色与IP</x:v>
      </x:c>
      <x:c r="P17" s="12" t="str">
        <x:v>https://www.youtube.com/watch?v=Hie1ZtyqOys</x:v>
      </x:c>
      <x:c r="Q17" s="16" t="n">
        <x:v>46270</x:v>
      </x:c>
    </x:row>
    <x:row r="18" ht="48" customHeight="1">
      <x:c r="A18" s="13" t="n">
        <x:v>14</x:v>
      </x:c>
      <x:c r="B18" s="13" t="str">
        <x:v>日本</x:v>
      </x:c>
      <x:c r="C18" s="13" t="str">
        <x:v>日语</x:v>
      </x:c>
      <x:c r="D18" s="13" t="str">
        <x:v>Genshin Impact</x:v>
      </x:c>
      <x:c r="E18" s="13" t="str">
        <x:v>Ver.4.0 公式PV</x:v>
      </x:c>
      <x:c r="F18" s="13" t="str">
        <x:v>原神-Genshin-公式</x:v>
      </x:c>
      <x:c r="G18" s="13" t="str">
        <x:v>品牌官方</x:v>
      </x:c>
      <x:c r="H18" s="13" t="str">
        <x:v>YouTube</x:v>
      </x:c>
      <x:c r="I18" s="13" t="str">
        <x:v>版本预告</x:v>
      </x:c>
      <x:c r="J18" s="13" t="str">
        <x:v>3 years ago</x:v>
      </x:c>
      <x:c r="K18" s="13" t="str">
        <x:v>5:56</x:v>
      </x:c>
      <x:c r="L18" s="15" t="n">
        <x:v>2209659</x:v>
      </x:c>
      <x:c r="M18" s="13" t="str">
        <x:v>新区域、探索机制和群像角色</x:v>
      </x:c>
      <x:c r="N18" s="13" t="str">
        <x:v>2209659 次观看</x:v>
      </x:c>
      <x:c r="O18" s="13" t="str">
        <x:v>长期运营</x:v>
      </x:c>
      <x:c r="P18" s="13" t="str">
        <x:v>https://www.youtube.com/watch?v=OlxaEK9K1Cs</x:v>
      </x:c>
      <x:c r="Q18" s="17" t="n">
        <x:v>46270</x:v>
      </x:c>
    </x:row>
    <x:row r="19" ht="48" customHeight="1">
      <x:c r="A19" s="12" t="n">
        <x:v>15</x:v>
      </x:c>
      <x:c r="B19" s="12" t="str">
        <x:v>日本</x:v>
      </x:c>
      <x:c r="C19" s="12" t="str">
        <x:v>日语</x:v>
      </x:c>
      <x:c r="D19" s="12" t="str">
        <x:v>Genshin Impact</x:v>
      </x:c>
      <x:c r="E19" s="12" t="str">
        <x:v>テイワット メインストーリーチャプターPV</x:v>
      </x:c>
      <x:c r="F19" s="12" t="str">
        <x:v>原神-Genshin-公式</x:v>
      </x:c>
      <x:c r="G19" s="12" t="str">
        <x:v>品牌官方</x:v>
      </x:c>
      <x:c r="H19" s="12" t="str">
        <x:v>YouTube</x:v>
      </x:c>
      <x:c r="I19" s="12" t="str">
        <x:v>世界观路线预告</x:v>
      </x:c>
      <x:c r="J19" s="12" t="str">
        <x:v>5 years ago</x:v>
      </x:c>
      <x:c r="K19" s="12" t="str">
        <x:v>4:18</x:v>
      </x:c>
      <x:c r="L19" s="14" t="n">
        <x:v>2490391</x:v>
      </x:c>
      <x:c r="M19" s="12" t="str">
        <x:v>长期世界叙事和地区路线图</x:v>
      </x:c>
      <x:c r="N19" s="12" t="str">
        <x:v>2490391 次观看</x:v>
      </x:c>
      <x:c r="O19" s="12" t="str">
        <x:v>世界观叙事</x:v>
      </x:c>
      <x:c r="P19" s="12" t="str">
        <x:v>https://www.youtube.com/watch?v=iRDcHzO3qZI</x:v>
      </x:c>
      <x:c r="Q19" s="16" t="n">
        <x:v>46270</x:v>
      </x:c>
    </x:row>
    <x:row r="20" ht="48" customHeight="1">
      <x:c r="A20" s="13" t="n">
        <x:v>16</x:v>
      </x:c>
      <x:c r="B20" s="13" t="str">
        <x:v>日本</x:v>
      </x:c>
      <x:c r="C20" s="13" t="str">
        <x:v>日语</x:v>
      </x:c>
      <x:c r="D20" s="13" t="str">
        <x:v>Monster Hunter Stories</x:v>
      </x:c>
      <x:c r="E20" s="13" t="str">
        <x:v>プロモーション映像 2024</x:v>
      </x:c>
      <x:c r="F20" s="13" t="str">
        <x:v>CapcomChannel</x:v>
      </x:c>
      <x:c r="G20" s="13" t="str">
        <x:v>品牌官方</x:v>
      </x:c>
      <x:c r="H20" s="13" t="str">
        <x:v>YouTube</x:v>
      </x:c>
      <x:c r="I20" s="13" t="str">
        <x:v>产品介绍</x:v>
      </x:c>
      <x:c r="J20" s="13" t="str">
        <x:v>2 years ago</x:v>
      </x:c>
      <x:c r="K20" s="13" t="str">
        <x:v>2:03</x:v>
      </x:c>
      <x:c r="L20" s="15" t="n">
        <x:v>73124</x:v>
      </x:c>
      <x:c r="M20" s="13" t="str">
        <x:v>怪物养成、羁绊、骑乘探索与故事</x:v>
      </x:c>
      <x:c r="N20" s="13" t="str">
        <x:v>73124 次观看</x:v>
      </x:c>
      <x:c r="O20" s="13" t="str">
        <x:v>发布转化</x:v>
      </x:c>
      <x:c r="P20" s="13" t="str">
        <x:v>https://www.youtube.com/watch?v=QDT6QDDzH_A</x:v>
      </x:c>
      <x:c r="Q20" s="17" t="n">
        <x:v>46270</x:v>
      </x:c>
    </x:row>
    <x:row r="21" ht="48" customHeight="1">
      <x:c r="A21" s="12" t="n">
        <x:v>17</x:v>
      </x:c>
      <x:c r="B21" s="12" t="str">
        <x:v>日本</x:v>
      </x:c>
      <x:c r="C21" s="12" t="str">
        <x:v>日语</x:v>
      </x:c>
      <x:c r="D21" s="12" t="str">
        <x:v>Monster Hunter Stories</x:v>
      </x:c>
      <x:c r="E21" s="12" t="str">
        <x:v>ローンチトレーラー</x:v>
      </x:c>
      <x:c r="F21" s="12" t="str">
        <x:v>CapcomChannel</x:v>
      </x:c>
      <x:c r="G21" s="12" t="str">
        <x:v>品牌官方</x:v>
      </x:c>
      <x:c r="H21" s="12" t="str">
        <x:v>YouTube</x:v>
      </x:c>
      <x:c r="I21" s="12" t="str">
        <x:v>上线预告</x:v>
      </x:c>
      <x:c r="J21" s="12" t="str">
        <x:v>2 years ago</x:v>
      </x:c>
      <x:c r="K21" s="12" t="str">
        <x:v>2:20</x:v>
      </x:c>
      <x:c r="L21" s="14" t="n">
        <x:v>38131</x:v>
      </x:c>
      <x:c r="M21" s="12" t="str">
        <x:v>完整冒险、伙伴养成和平台可用性</x:v>
      </x:c>
      <x:c r="N21" s="12" t="str">
        <x:v>38131 次观看</x:v>
      </x:c>
      <x:c r="O21" s="12" t="str">
        <x:v>发布转化</x:v>
      </x:c>
      <x:c r="P21" s="12" t="str">
        <x:v>https://www.youtube.com/watch?v=mMrUmEC1PTQ</x:v>
      </x:c>
      <x:c r="Q21" s="16" t="n">
        <x:v>46270</x:v>
      </x:c>
    </x:row>
    <x:row r="22" ht="48" customHeight="1">
      <x:c r="A22" s="13" t="n">
        <x:v>18</x:v>
      </x:c>
      <x:c r="B22" s="13" t="str">
        <x:v>日本</x:v>
      </x:c>
      <x:c r="C22" s="13" t="str">
        <x:v>日语</x:v>
      </x:c>
      <x:c r="D22" s="13" t="str">
        <x:v>Monster Hunter Stories 3</x:v>
      </x:c>
      <x:c r="E22" s="13" t="str">
        <x:v>ストーリートレーラー</x:v>
      </x:c>
      <x:c r="F22" s="13" t="str">
        <x:v>CapcomChannel</x:v>
      </x:c>
      <x:c r="G22" s="13" t="str">
        <x:v>品牌官方</x:v>
      </x:c>
      <x:c r="H22" s="13" t="str">
        <x:v>YouTube</x:v>
      </x:c>
      <x:c r="I22" s="13" t="str">
        <x:v>剧情预告</x:v>
      </x:c>
      <x:c r="J22" s="13" t="str">
        <x:v>6 months ago</x:v>
      </x:c>
      <x:c r="K22" s="13" t="str">
        <x:v>3:06</x:v>
      </x:c>
      <x:c r="L22" s="15" t="n">
        <x:v>146457</x:v>
      </x:c>
      <x:c r="M22" s="13" t="str">
        <x:v>双龙命运、角色冲突和叙事悬念</x:v>
      </x:c>
      <x:c r="N22" s="13" t="str">
        <x:v>146457 次观看</x:v>
      </x:c>
      <x:c r="O22" s="13" t="str">
        <x:v>世界观叙事</x:v>
      </x:c>
      <x:c r="P22" s="13" t="str">
        <x:v>https://www.youtube.com/watch?v=Yta75Rhpwk8</x:v>
      </x:c>
      <x:c r="Q22" s="17" t="n">
        <x:v>46270</x:v>
      </x:c>
    </x:row>
    <x:row r="23" ht="48" customHeight="1">
      <x:c r="A23" s="12" t="n">
        <x:v>19</x:v>
      </x:c>
      <x:c r="B23" s="12" t="str">
        <x:v>日本</x:v>
      </x:c>
      <x:c r="C23" s="12" t="str">
        <x:v>日语</x:v>
      </x:c>
      <x:c r="D23" s="12" t="str">
        <x:v>Monster Hunter Stories 2</x:v>
      </x:c>
      <x:c r="E23" s="12" t="str">
        <x:v>ファイナルトレーラー</x:v>
      </x:c>
      <x:c r="F23" s="12" t="str">
        <x:v>CapcomChannel</x:v>
      </x:c>
      <x:c r="G23" s="12" t="str">
        <x:v>品牌官方</x:v>
      </x:c>
      <x:c r="H23" s="12" t="str">
        <x:v>YouTube</x:v>
      </x:c>
      <x:c r="I23" s="12" t="str">
        <x:v>最终预告</x:v>
      </x:c>
      <x:c r="J23" s="12" t="str">
        <x:v>4 years ago</x:v>
      </x:c>
      <x:c r="K23" s="12" t="str">
        <x:v>2:24</x:v>
      </x:c>
      <x:c r="L23" s="14" t="n">
        <x:v>182545</x:v>
      </x:c>
      <x:c r="M23" s="12" t="str">
        <x:v>角色、伙伴与关键剧情的集中释放</x:v>
      </x:c>
      <x:c r="N23" s="12" t="str">
        <x:v>182545 次观看</x:v>
      </x:c>
      <x:c r="O23" s="12" t="str">
        <x:v>发布转化</x:v>
      </x:c>
      <x:c r="P23" s="12" t="str">
        <x:v>https://www.youtube.com/watch?v=GPEGGc3proY</x:v>
      </x:c>
      <x:c r="Q23" s="16" t="n">
        <x:v>46270</x:v>
      </x:c>
    </x:row>
    <x:row r="24" ht="48" customHeight="1">
      <x:c r="A24" s="13" t="n">
        <x:v>20</x:v>
      </x:c>
      <x:c r="B24" s="13" t="str">
        <x:v>日本</x:v>
      </x:c>
      <x:c r="C24" s="13" t="str">
        <x:v>日语</x:v>
      </x:c>
      <x:c r="D24" s="13" t="str">
        <x:v>Monster Hunter Stories</x:v>
      </x:c>
      <x:c r="E24" s="13" t="str">
        <x:v>世界へようこそ</x:v>
      </x:c>
      <x:c r="F24" s="13" t="str">
        <x:v>CapcomChannel</x:v>
      </x:c>
      <x:c r="G24" s="13" t="str">
        <x:v>品牌官方</x:v>
      </x:c>
      <x:c r="H24" s="13" t="str">
        <x:v>YouTube</x:v>
      </x:c>
      <x:c r="I24" s="13" t="str">
        <x:v>世界观长视频</x:v>
      </x:c>
      <x:c r="J24" s="13" t="str">
        <x:v>6 months ago</x:v>
      </x:c>
      <x:c r="K24" s="13" t="str">
        <x:v>10:20</x:v>
      </x:c>
      <x:c r="L24" s="15" t="n">
        <x:v>4869513</x:v>
      </x:c>
      <x:c r="M24" s="13" t="str">
        <x:v>用知名声优讲解怪物、世界与羁绊</x:v>
      </x:c>
      <x:c r="N24" s="13" t="str">
        <x:v>4869513 次观看</x:v>
      </x:c>
      <x:c r="O24" s="13" t="str">
        <x:v>世界观叙事</x:v>
      </x:c>
      <x:c r="P24" s="13" t="str">
        <x:v>https://www.youtube.com/watch?v=Dk1DxBu6r0U</x:v>
      </x:c>
      <x:c r="Q24" s="17" t="n">
        <x:v>46270</x:v>
      </x:c>
    </x:row>
    <x:row r="25" ht="48" customHeight="1">
      <x:c r="A25" s="12" t="n">
        <x:v>21</x:v>
      </x:c>
      <x:c r="B25" s="12" t="str">
        <x:v>美国</x:v>
      </x:c>
      <x:c r="C25" s="12" t="str">
        <x:v>英语</x:v>
      </x:c>
      <x:c r="D25" s="12" t="str">
        <x:v>Pokémon</x:v>
      </x:c>
      <x:c r="E25" s="12" t="str">
        <x:v>Pokémon Wild Card Official Teaser Trailer</x:v>
      </x:c>
      <x:c r="F25" s="12" t="str">
        <x:v>The Official Pokémon YouTube channel</x:v>
      </x:c>
      <x:c r="G25" s="12" t="str">
        <x:v>品牌官方</x:v>
      </x:c>
      <x:c r="H25" s="12" t="str">
        <x:v>YouTube</x:v>
      </x:c>
      <x:c r="I25" s="12" t="str">
        <x:v>短预告</x:v>
      </x:c>
      <x:c r="J25" s="12" t="str">
        <x:v>5 days ago</x:v>
      </x:c>
      <x:c r="K25" s="12" t="str">
        <x:v>0:40</x:v>
      </x:c>
      <x:c r="L25" s="14" t="n">
        <x:v>2729988</x:v>
      </x:c>
      <x:c r="M25" s="12" t="str">
        <x:v>高密度悬念与 IP 识别，驱动讨论</x:v>
      </x:c>
      <x:c r="N25" s="12" t="str">
        <x:v>2729988 次观看</x:v>
      </x:c>
      <x:c r="O25" s="12" t="str">
        <x:v>发布转化</x:v>
      </x:c>
      <x:c r="P25" s="12" t="str">
        <x:v>https://www.youtube.com/watch?v=H6_jMQ6whtQ</x:v>
      </x:c>
      <x:c r="Q25" s="16" t="n">
        <x:v>46270</x:v>
      </x:c>
    </x:row>
    <x:row r="26" ht="48" customHeight="1">
      <x:c r="A26" s="13" t="n">
        <x:v>22</x:v>
      </x:c>
      <x:c r="B26" s="13" t="str">
        <x:v>美国</x:v>
      </x:c>
      <x:c r="C26" s="13" t="str">
        <x:v>英语</x:v>
      </x:c>
      <x:c r="D26" s="13" t="str">
        <x:v>Pokémon Champions</x:v>
      </x:c>
      <x:c r="E26" s="13" t="str">
        <x:v>Z Mega Evolutions Official Championships Trailer</x:v>
      </x:c>
      <x:c r="F26" s="13" t="str">
        <x:v>The Official Pokémon YouTube channel</x:v>
      </x:c>
      <x:c r="G26" s="13" t="str">
        <x:v>品牌官方</x:v>
      </x:c>
      <x:c r="H26" s="13" t="str">
        <x:v>YouTube</x:v>
      </x:c>
      <x:c r="I26" s="13" t="str">
        <x:v>赛事节点预告</x:v>
      </x:c>
      <x:c r="J26" s="13" t="str">
        <x:v>5 days ago</x:v>
      </x:c>
      <x:c r="K26" s="13" t="str">
        <x:v>1:17</x:v>
      </x:c>
      <x:c r="L26" s="15" t="n">
        <x:v>386203</x:v>
      </x:c>
      <x:c r="M26" s="13" t="str">
        <x:v>竞技、稀有形态和赛事场景</x:v>
      </x:c>
      <x:c r="N26" s="13" t="str">
        <x:v>386203 次观看</x:v>
      </x:c>
      <x:c r="O26" s="13" t="str">
        <x:v>发布转化</x:v>
      </x:c>
      <x:c r="P26" s="13" t="str">
        <x:v>https://www.youtube.com/watch?v=FVm9o4R4UIs</x:v>
      </x:c>
      <x:c r="Q26" s="17" t="n">
        <x:v>46270</x:v>
      </x:c>
    </x:row>
    <x:row r="27" ht="48" customHeight="1">
      <x:c r="A27" s="12" t="n">
        <x:v>23</x:v>
      </x:c>
      <x:c r="B27" s="12" t="str">
        <x:v>美国</x:v>
      </x:c>
      <x:c r="C27" s="12" t="str">
        <x:v>英语</x:v>
      </x:c>
      <x:c r="D27" s="12" t="str">
        <x:v>Pokémon Pokopia</x:v>
      </x:c>
      <x:c r="E27" s="12" t="str">
        <x:v>Launch Trailer Nintendo Switch 2</x:v>
      </x:c>
      <x:c r="F27" s="12" t="str">
        <x:v>Nintendo of America</x:v>
      </x:c>
      <x:c r="G27" s="12" t="str">
        <x:v>平台官方</x:v>
      </x:c>
      <x:c r="H27" s="12" t="str">
        <x:v>YouTube</x:v>
      </x:c>
      <x:c r="I27" s="12" t="str">
        <x:v>上线玩法预告</x:v>
      </x:c>
      <x:c r="J27" s="12" t="str">
        <x:v>6 months ago</x:v>
      </x:c>
      <x:c r="K27" s="12" t="str">
        <x:v>3:23</x:v>
      </x:c>
      <x:c r="L27" s="14" t="n">
        <x:v>653058</x:v>
      </x:c>
      <x:c r="M27" s="12" t="str">
        <x:v>轻松生活、建设与角色陪伴</x:v>
      </x:c>
      <x:c r="N27" s="12" t="str">
        <x:v>653058 次观看</x:v>
      </x:c>
      <x:c r="O27" s="12" t="str">
        <x:v>玩法证明</x:v>
      </x:c>
      <x:c r="P27" s="12" t="str">
        <x:v>https://www.youtube.com/watch?v=-zpr21HzJ9Q</x:v>
      </x:c>
      <x:c r="Q27" s="16" t="n">
        <x:v>46270</x:v>
      </x:c>
    </x:row>
    <x:row r="28" ht="48" customHeight="1">
      <x:c r="A28" s="13" t="n">
        <x:v>24</x:v>
      </x:c>
      <x:c r="B28" s="13" t="str">
        <x:v>美国</x:v>
      </x:c>
      <x:c r="C28" s="13" t="str">
        <x:v>英语</x:v>
      </x:c>
      <x:c r="D28" s="13" t="str">
        <x:v>Pokémon ORAS</x:v>
      </x:c>
      <x:c r="E28" s="13" t="str">
        <x:v>Animated Trailer</x:v>
      </x:c>
      <x:c r="F28" s="13" t="str">
        <x:v>The Official Pokémon YouTube channel</x:v>
      </x:c>
      <x:c r="G28" s="13" t="str">
        <x:v>品牌官方</x:v>
      </x:c>
      <x:c r="H28" s="13" t="str">
        <x:v>YouTube</x:v>
      </x:c>
      <x:c r="I28" s="13" t="str">
        <x:v>动画叙事预告</x:v>
      </x:c>
      <x:c r="J28" s="13" t="str">
        <x:v>11 years ago</x:v>
      </x:c>
      <x:c r="K28" s="13" t="str">
        <x:v>4:07</x:v>
      </x:c>
      <x:c r="L28" s="15" t="n">
        <x:v>83558402</x:v>
      </x:c>
      <x:c r="M28" s="13" t="str">
        <x:v>角色战斗、怀旧与动画品质</x:v>
      </x:c>
      <x:c r="N28" s="13" t="str">
        <x:v>83558402 次观看</x:v>
      </x:c>
      <x:c r="O28" s="13" t="str">
        <x:v>世界观叙事</x:v>
      </x:c>
      <x:c r="P28" s="13" t="str">
        <x:v>https://www.youtube.com/watch?v=Vw6zP7n0ais</x:v>
      </x:c>
      <x:c r="Q28" s="17" t="n">
        <x:v>46270</x:v>
      </x:c>
    </x:row>
    <x:row r="29" ht="48" customHeight="1">
      <x:c r="A29" s="12" t="n">
        <x:v>25</x:v>
      </x:c>
      <x:c r="B29" s="12" t="str">
        <x:v>美国</x:v>
      </x:c>
      <x:c r="C29" s="12" t="str">
        <x:v>英语</x:v>
      </x:c>
      <x:c r="D29" s="12" t="str">
        <x:v>Pokémon Let's Go</x:v>
      </x:c>
      <x:c r="E29" s="12" t="str">
        <x:v>Pikachu and Eevee Trailer</x:v>
      </x:c>
      <x:c r="F29" s="12" t="str">
        <x:v>The Official Pokémon YouTube channel</x:v>
      </x:c>
      <x:c r="G29" s="12" t="str">
        <x:v>品牌官方</x:v>
      </x:c>
      <x:c r="H29" s="12" t="str">
        <x:v>YouTube</x:v>
      </x:c>
      <x:c r="I29" s="12" t="str">
        <x:v>产品发布预告</x:v>
      </x:c>
      <x:c r="J29" s="12" t="str">
        <x:v>8 years ago</x:v>
      </x:c>
      <x:c r="K29" s="12" t="str">
        <x:v>3:19</x:v>
      </x:c>
      <x:c r="L29" s="14" t="n">
        <x:v>21700122</x:v>
      </x:c>
      <x:c r="M29" s="12" t="str">
        <x:v>伙伴选择、经典回归与易上手体验</x:v>
      </x:c>
      <x:c r="N29" s="12" t="str">
        <x:v>21700122 次观看</x:v>
      </x:c>
      <x:c r="O29" s="12" t="str">
        <x:v>发布转化</x:v>
      </x:c>
      <x:c r="P29" s="12" t="str">
        <x:v>https://www.youtube.com/watch?v=9jRtpMKLsts</x:v>
      </x:c>
      <x:c r="Q29" s="16" t="n">
        <x:v>46270</x:v>
      </x:c>
    </x:row>
    <x:row r="30" ht="48" customHeight="1">
      <x:c r="A30" s="13" t="n">
        <x:v>26</x:v>
      </x:c>
      <x:c r="B30" s="13" t="str">
        <x:v>美国</x:v>
      </x:c>
      <x:c r="C30" s="13" t="str">
        <x:v>英语</x:v>
      </x:c>
      <x:c r="D30" s="13" t="str">
        <x:v>Palworld</x:v>
      </x:c>
      <x:c r="E30" s="13" t="str">
        <x:v>1.0 Official Launch Trailer</x:v>
      </x:c>
      <x:c r="F30" s="13" t="str">
        <x:v>Pocketpair Palworld</x:v>
      </x:c>
      <x:c r="G30" s="13" t="str">
        <x:v>品牌官方</x:v>
      </x:c>
      <x:c r="H30" s="13" t="str">
        <x:v>YouTube</x:v>
      </x:c>
      <x:c r="I30" s="13" t="str">
        <x:v>上线预告</x:v>
      </x:c>
      <x:c r="J30" s="13" t="str">
        <x:v>1 month ago</x:v>
      </x:c>
      <x:c r="K30" s="13" t="str">
        <x:v>2:33</x:v>
      </x:c>
      <x:c r="L30" s="15" t="n">
        <x:v>1193681</x:v>
      </x:c>
      <x:c r="M30" s="13" t="str">
        <x:v>开放世界、生物伙伴、战斗与建造</x:v>
      </x:c>
      <x:c r="N30" s="13" t="str">
        <x:v>1193681 次观看</x:v>
      </x:c>
      <x:c r="O30" s="13" t="str">
        <x:v>发布转化</x:v>
      </x:c>
      <x:c r="P30" s="13" t="str">
        <x:v>https://www.youtube.com/watch?v=1fpGg9wNM9A</x:v>
      </x:c>
      <x:c r="Q30" s="17" t="n">
        <x:v>46270</x:v>
      </x:c>
    </x:row>
    <x:row r="31" ht="48" customHeight="1">
      <x:c r="A31" s="12" t="n">
        <x:v>27</x:v>
      </x:c>
      <x:c r="B31" s="12" t="str">
        <x:v>美国</x:v>
      </x:c>
      <x:c r="C31" s="12" t="str">
        <x:v>英语</x:v>
      </x:c>
      <x:c r="D31" s="12" t="str">
        <x:v>Palworld</x:v>
      </x:c>
      <x:c r="E31" s="12" t="str">
        <x:v>1.0 Cinematic Trailer</x:v>
      </x:c>
      <x:c r="F31" s="12" t="str">
        <x:v>Pocketpair Palworld</x:v>
      </x:c>
      <x:c r="G31" s="12" t="str">
        <x:v>品牌官方</x:v>
      </x:c>
      <x:c r="H31" s="12" t="str">
        <x:v>YouTube</x:v>
      </x:c>
      <x:c r="I31" s="12" t="str">
        <x:v>电影化品牌预告</x:v>
      </x:c>
      <x:c r="J31" s="12" t="str">
        <x:v>2 months ago</x:v>
      </x:c>
      <x:c r="K31" s="12" t="str">
        <x:v>1:48</x:v>
      </x:c>
      <x:c r="L31" s="14" t="n">
        <x:v>1015409</x:v>
      </x:c>
      <x:c r="M31" s="12" t="str">
        <x:v>世界规模、危机与伙伴冒险</x:v>
      </x:c>
      <x:c r="N31" s="12" t="str">
        <x:v>1015409 次观看</x:v>
      </x:c>
      <x:c r="O31" s="12" t="str">
        <x:v>发布转化</x:v>
      </x:c>
      <x:c r="P31" s="12" t="str">
        <x:v>https://www.youtube.com/watch?v=gKum7LqFi1s</x:v>
      </x:c>
      <x:c r="Q31" s="16" t="n">
        <x:v>46270</x:v>
      </x:c>
    </x:row>
    <x:row r="32" ht="48" customHeight="1">
      <x:c r="A32" s="13" t="n">
        <x:v>28</x:v>
      </x:c>
      <x:c r="B32" s="13" t="str">
        <x:v>美国</x:v>
      </x:c>
      <x:c r="C32" s="13" t="str">
        <x:v>英语</x:v>
      </x:c>
      <x:c r="D32" s="13" t="str">
        <x:v>Palworld</x:v>
      </x:c>
      <x:c r="E32" s="13" t="str">
        <x:v>Early Access Gameplay Launch Trailer</x:v>
      </x:c>
      <x:c r="F32" s="13" t="str">
        <x:v>GameSpot</x:v>
      </x:c>
      <x:c r="G32" s="13" t="str">
        <x:v>头部游戏媒体</x:v>
      </x:c>
      <x:c r="H32" s="13" t="str">
        <x:v>YouTube</x:v>
      </x:c>
      <x:c r="I32" s="13" t="str">
        <x:v>玩法预告</x:v>
      </x:c>
      <x:c r="J32" s="13" t="str">
        <x:v>2 years ago</x:v>
      </x:c>
      <x:c r="K32" s="13" t="str">
        <x:v>3:07</x:v>
      </x:c>
      <x:c r="L32" s="15" t="n">
        <x:v>897549</x:v>
      </x:c>
      <x:c r="M32" s="13" t="str">
        <x:v>真实玩法、多人、生存、战斗和自动化</x:v>
      </x:c>
      <x:c r="N32" s="13" t="str">
        <x:v>897549 次观看</x:v>
      </x:c>
      <x:c r="O32" s="13" t="str">
        <x:v>玩法证明</x:v>
      </x:c>
      <x:c r="P32" s="13" t="str">
        <x:v>https://www.youtube.com/watch?v=ZPu9yAOEYkQ</x:v>
      </x:c>
      <x:c r="Q32" s="17" t="n">
        <x:v>46270</x:v>
      </x:c>
    </x:row>
    <x:row r="33" ht="48" customHeight="1">
      <x:c r="A33" s="12" t="n">
        <x:v>29</x:v>
      </x:c>
      <x:c r="B33" s="12" t="str">
        <x:v>美国</x:v>
      </x:c>
      <x:c r="C33" s="12" t="str">
        <x:v>英语</x:v>
      </x:c>
      <x:c r="D33" s="12" t="str">
        <x:v>Palworld</x:v>
      </x:c>
      <x:c r="E33" s="12" t="str">
        <x:v>FEYBREAK Update Trailer</x:v>
      </x:c>
      <x:c r="F33" s="12" t="str">
        <x:v>Pocketpair Palworld</x:v>
      </x:c>
      <x:c r="G33" s="12" t="str">
        <x:v>品牌官方</x:v>
      </x:c>
      <x:c r="H33" s="12" t="str">
        <x:v>YouTube</x:v>
      </x:c>
      <x:c r="I33" s="12" t="str">
        <x:v>版本更新预告</x:v>
      </x:c>
      <x:c r="J33" s="12" t="str">
        <x:v>1 year ago</x:v>
      </x:c>
      <x:c r="K33" s="12" t="str">
        <x:v>1:32</x:v>
      </x:c>
      <x:c r="L33" s="14" t="n">
        <x:v>566325</x:v>
      </x:c>
      <x:c r="M33" s="12" t="str">
        <x:v>新区域、首领和持续运营内容</x:v>
      </x:c>
      <x:c r="N33" s="12" t="str">
        <x:v>566325 次观看</x:v>
      </x:c>
      <x:c r="O33" s="12" t="str">
        <x:v>长期运营</x:v>
      </x:c>
      <x:c r="P33" s="12" t="str">
        <x:v>https://www.youtube.com/watch?v=mI_0U7-7hRA</x:v>
      </x:c>
      <x:c r="Q33" s="16" t="n">
        <x:v>46270</x:v>
      </x:c>
    </x:row>
    <x:row r="34" ht="48" customHeight="1">
      <x:c r="A34" s="13" t="n">
        <x:v>30</x:v>
      </x:c>
      <x:c r="B34" s="13" t="str">
        <x:v>美国</x:v>
      </x:c>
      <x:c r="C34" s="13" t="str">
        <x:v>英语</x:v>
      </x:c>
      <x:c r="D34" s="13" t="str">
        <x:v>Palworld</x:v>
      </x:c>
      <x:c r="E34" s="13" t="str">
        <x:v>Game Preview Launch Trailer</x:v>
      </x:c>
      <x:c r="F34" s="13" t="str">
        <x:v>XBOX</x:v>
      </x:c>
      <x:c r="G34" s="13" t="str">
        <x:v>平台官方</x:v>
      </x:c>
      <x:c r="H34" s="13" t="str">
        <x:v>YouTube</x:v>
      </x:c>
      <x:c r="I34" s="13" t="str">
        <x:v>平台上线预告</x:v>
      </x:c>
      <x:c r="J34" s="13" t="str">
        <x:v>2 years ago</x:v>
      </x:c>
      <x:c r="K34" s="13" t="str">
        <x:v>3:11</x:v>
      </x:c>
      <x:c r="L34" s="15" t="n">
        <x:v>915895</x:v>
      </x:c>
      <x:c r="M34" s="13" t="str">
        <x:v>玩法组合与 Xbox 可用性</x:v>
      </x:c>
      <x:c r="N34" s="13" t="str">
        <x:v>915895 次观看</x:v>
      </x:c>
      <x:c r="O34" s="13" t="str">
        <x:v>发布转化</x:v>
      </x:c>
      <x:c r="P34" s="13" t="str">
        <x:v>https://www.youtube.com/watch?v=uV0zfAwazcs</x:v>
      </x:c>
      <x:c r="Q34" s="17" t="n">
        <x:v>46270</x:v>
      </x:c>
    </x:row>
    <x:row r="35" ht="48" customHeight="1">
      <x:c r="A35" s="12" t="n">
        <x:v>31</x:v>
      </x:c>
      <x:c r="B35" s="12" t="str">
        <x:v>美国</x:v>
      </x:c>
      <x:c r="C35" s="12" t="str">
        <x:v>英语</x:v>
      </x:c>
      <x:c r="D35" s="12" t="str">
        <x:v>Genshin Impact</x:v>
      </x:c>
      <x:c r="E35" s="12" t="str">
        <x:v>Teyvat Chapter Storyline Preview Travail</x:v>
      </x:c>
      <x:c r="F35" s="12" t="str">
        <x:v>Genshin Impact</x:v>
      </x:c>
      <x:c r="G35" s="12" t="str">
        <x:v>品牌官方</x:v>
      </x:c>
      <x:c r="H35" s="12" t="str">
        <x:v>YouTube</x:v>
      </x:c>
      <x:c r="I35" s="12" t="str">
        <x:v>世界观路线预告</x:v>
      </x:c>
      <x:c r="J35" s="12" t="str">
        <x:v>5 years ago</x:v>
      </x:c>
      <x:c r="K35" s="12" t="str">
        <x:v>4:19</x:v>
      </x:c>
      <x:c r="L35" s="14" t="n">
        <x:v>25253495</x:v>
      </x:c>
      <x:c r="M35" s="12" t="str">
        <x:v>跨地区长期叙事和角色期待</x:v>
      </x:c>
      <x:c r="N35" s="12" t="str">
        <x:v>25253495 次观看</x:v>
      </x:c>
      <x:c r="O35" s="12" t="str">
        <x:v>世界观叙事</x:v>
      </x:c>
      <x:c r="P35" s="12" t="str">
        <x:v>https://www.youtube.com/watch?v=TAlKhARUcoY</x:v>
      </x:c>
      <x:c r="Q35" s="16" t="n">
        <x:v>46270</x:v>
      </x:c>
    </x:row>
    <x:row r="36" ht="48" customHeight="1">
      <x:c r="A36" s="13" t="n">
        <x:v>32</x:v>
      </x:c>
      <x:c r="B36" s="13" t="str">
        <x:v>美国</x:v>
      </x:c>
      <x:c r="C36" s="13" t="str">
        <x:v>英语</x:v>
      </x:c>
      <x:c r="D36" s="13" t="str">
        <x:v>Genshin Impact</x:v>
      </x:c>
      <x:c r="E36" s="13" t="str">
        <x:v>Version 7.0 Everwinter Without Mercy Trailer</x:v>
      </x:c>
      <x:c r="F36" s="13" t="str">
        <x:v>Genshin Impact</x:v>
      </x:c>
      <x:c r="G36" s="13" t="str">
        <x:v>品牌官方</x:v>
      </x:c>
      <x:c r="H36" s="13" t="str">
        <x:v>YouTube</x:v>
      </x:c>
      <x:c r="I36" s="13" t="str">
        <x:v>版本预告</x:v>
      </x:c>
      <x:c r="J36" s="13" t="str">
        <x:v>1 month ago</x:v>
      </x:c>
      <x:c r="K36" s="13" t="str">
        <x:v>4:44</x:v>
      </x:c>
      <x:c r="L36" s="15" t="n">
        <x:v>1374808</x:v>
      </x:c>
      <x:c r="M36" s="13" t="str">
        <x:v>新区域、角色、战斗与剧情</x:v>
      </x:c>
      <x:c r="N36" s="13" t="str">
        <x:v>1374808 次观看</x:v>
      </x:c>
      <x:c r="O36" s="13" t="str">
        <x:v>长期运营</x:v>
      </x:c>
      <x:c r="P36" s="13" t="str">
        <x:v>https://www.youtube.com/watch?v=QgLZe9BtRJE</x:v>
      </x:c>
      <x:c r="Q36" s="17" t="n">
        <x:v>46270</x:v>
      </x:c>
    </x:row>
    <x:row r="37" ht="48" customHeight="1">
      <x:c r="A37" s="12" t="n">
        <x:v>33</x:v>
      </x:c>
      <x:c r="B37" s="12" t="str">
        <x:v>美国</x:v>
      </x:c>
      <x:c r="C37" s="12" t="str">
        <x:v>英语</x:v>
      </x:c>
      <x:c r="D37" s="12" t="str">
        <x:v>Genshin Impact</x:v>
      </x:c>
      <x:c r="E37" s="12" t="str">
        <x:v>Furina All the World's a Stage Character Demo</x:v>
      </x:c>
      <x:c r="F37" s="12" t="str">
        <x:v>Genshin Impact</x:v>
      </x:c>
      <x:c r="G37" s="12" t="str">
        <x:v>品牌官方</x:v>
      </x:c>
      <x:c r="H37" s="12" t="str">
        <x:v>YouTube</x:v>
      </x:c>
      <x:c r="I37" s="12" t="str">
        <x:v>角色演示</x:v>
      </x:c>
      <x:c r="J37" s="12" t="str">
        <x:v>2 years ago</x:v>
      </x:c>
      <x:c r="K37" s="12" t="str">
        <x:v>3:16</x:v>
      </x:c>
      <x:c r="L37" s="14" t="n">
        <x:v>14951047</x:v>
      </x:c>
      <x:c r="M37" s="12" t="str">
        <x:v>角色人格、技能与舞台化表现</x:v>
      </x:c>
      <x:c r="N37" s="12" t="str">
        <x:v>14951047 次观看</x:v>
      </x:c>
      <x:c r="O37" s="12" t="str">
        <x:v>角色与IP</x:v>
      </x:c>
      <x:c r="P37" s="12" t="str">
        <x:v>https://www.youtube.com/watch?v=EN79SfbcvIE</x:v>
      </x:c>
      <x:c r="Q37" s="16" t="n">
        <x:v>46270</x:v>
      </x:c>
    </x:row>
    <x:row r="38" ht="48" customHeight="1">
      <x:c r="A38" s="13" t="n">
        <x:v>34</x:v>
      </x:c>
      <x:c r="B38" s="13" t="str">
        <x:v>美国</x:v>
      </x:c>
      <x:c r="C38" s="13" t="str">
        <x:v>英语</x:v>
      </x:c>
      <x:c r="D38" s="13" t="str">
        <x:v>Genshin Impact</x:v>
      </x:c>
      <x:c r="E38" s="13" t="str">
        <x:v>Raiden Shogun Judgment of Euthymia Demo</x:v>
      </x:c>
      <x:c r="F38" s="13" t="str">
        <x:v>Genshin Impact</x:v>
      </x:c>
      <x:c r="G38" s="13" t="str">
        <x:v>品牌官方</x:v>
      </x:c>
      <x:c r="H38" s="13" t="str">
        <x:v>YouTube</x:v>
      </x:c>
      <x:c r="I38" s="13" t="str">
        <x:v>角色演示</x:v>
      </x:c>
      <x:c r="J38" s="13" t="str">
        <x:v>5 years ago</x:v>
      </x:c>
      <x:c r="K38" s="13" t="str">
        <x:v>2:43</x:v>
      </x:c>
      <x:c r="L38" s="15" t="n">
        <x:v>21030109</x:v>
      </x:c>
      <x:c r="M38" s="13" t="str">
        <x:v>战斗能力、角色权威感和音乐节奏</x:v>
      </x:c>
      <x:c r="N38" s="13" t="str">
        <x:v>21030109 次观看</x:v>
      </x:c>
      <x:c r="O38" s="13" t="str">
        <x:v>角色与IP</x:v>
      </x:c>
      <x:c r="P38" s="13" t="str">
        <x:v>https://www.youtube.com/watch?v=mvrW4aKwAXw</x:v>
      </x:c>
      <x:c r="Q38" s="17" t="n">
        <x:v>46270</x:v>
      </x:c>
    </x:row>
    <x:row r="39" ht="48" customHeight="1">
      <x:c r="A39" s="12" t="n">
        <x:v>35</x:v>
      </x:c>
      <x:c r="B39" s="12" t="str">
        <x:v>美国</x:v>
      </x:c>
      <x:c r="C39" s="12" t="str">
        <x:v>英语</x:v>
      </x:c>
      <x:c r="D39" s="12" t="str">
        <x:v>Genshin Impact</x:v>
      </x:c>
      <x:c r="E39" s="12" t="str">
        <x:v>Version 4.0 As Light Rain Falls Without Reason</x:v>
      </x:c>
      <x:c r="F39" s="12" t="str">
        <x:v>Genshin Impact</x:v>
      </x:c>
      <x:c r="G39" s="12" t="str">
        <x:v>品牌官方</x:v>
      </x:c>
      <x:c r="H39" s="12" t="str">
        <x:v>YouTube</x:v>
      </x:c>
      <x:c r="I39" s="12" t="str">
        <x:v>版本预告</x:v>
      </x:c>
      <x:c r="J39" s="12" t="str">
        <x:v>3 years ago</x:v>
      </x:c>
      <x:c r="K39" s="12" t="str">
        <x:v>5:56</x:v>
      </x:c>
      <x:c r="L39" s="14" t="n">
        <x:v>5218216</x:v>
      </x:c>
      <x:c r="M39" s="12" t="str">
        <x:v>新区域探索、剧情与玩法更新</x:v>
      </x:c>
      <x:c r="N39" s="12" t="str">
        <x:v>5218216 次观看</x:v>
      </x:c>
      <x:c r="O39" s="12" t="str">
        <x:v>长期运营</x:v>
      </x:c>
      <x:c r="P39" s="12" t="str">
        <x:v>https://www.youtube.com/watch?v=1hJ5J5QiyIY</x:v>
      </x:c>
      <x:c r="Q39" s="16" t="n">
        <x:v>46270</x:v>
      </x:c>
    </x:row>
    <x:row r="40" ht="48" customHeight="1">
      <x:c r="A40" s="13" t="n">
        <x:v>36</x:v>
      </x:c>
      <x:c r="B40" s="13" t="str">
        <x:v>美国</x:v>
      </x:c>
      <x:c r="C40" s="13" t="str">
        <x:v>英语</x:v>
      </x:c>
      <x:c r="D40" s="13" t="str">
        <x:v>Monster Hunter Stories</x:v>
      </x:c>
      <x:c r="E40" s="13" t="str">
        <x:v>Launch Trailer Nintendo Switch</x:v>
      </x:c>
      <x:c r="F40" s="13" t="str">
        <x:v>Nintendo of America</x:v>
      </x:c>
      <x:c r="G40" s="13" t="str">
        <x:v>平台官方</x:v>
      </x:c>
      <x:c r="H40" s="13" t="str">
        <x:v>YouTube</x:v>
      </x:c>
      <x:c r="I40" s="13" t="str">
        <x:v>上线预告</x:v>
      </x:c>
      <x:c r="J40" s="13" t="str">
        <x:v>2 years ago</x:v>
      </x:c>
      <x:c r="K40" s="13" t="str">
        <x:v>2:19</x:v>
      </x:c>
      <x:c r="L40" s="15" t="n">
        <x:v>83720</x:v>
      </x:c>
      <x:c r="M40" s="13" t="str">
        <x:v>高清重制、双语配音、伙伴养成与冒险</x:v>
      </x:c>
      <x:c r="N40" s="13" t="str">
        <x:v>83720 次观看</x:v>
      </x:c>
      <x:c r="O40" s="13" t="str">
        <x:v>发布转化</x:v>
      </x:c>
      <x:c r="P40" s="13" t="str">
        <x:v>https://www.youtube.com/watch?v=lUh18R_I1Jw</x:v>
      </x:c>
      <x:c r="Q40" s="17" t="n">
        <x:v>46270</x:v>
      </x:c>
    </x:row>
    <x:row r="41" ht="48" customHeight="1">
      <x:c r="A41" s="12" t="n">
        <x:v>37</x:v>
      </x:c>
      <x:c r="B41" s="12" t="str">
        <x:v>美国</x:v>
      </x:c>
      <x:c r="C41" s="12" t="str">
        <x:v>英语</x:v>
      </x:c>
      <x:c r="D41" s="12" t="str">
        <x:v>Monster Hunter Stories</x:v>
      </x:c>
      <x:c r="E41" s="12" t="str">
        <x:v>Announcement Trailer Nintendo Switch</x:v>
      </x:c>
      <x:c r="F41" s="12" t="str">
        <x:v>Nintendo of America</x:v>
      </x:c>
      <x:c r="G41" s="12" t="str">
        <x:v>平台官方</x:v>
      </x:c>
      <x:c r="H41" s="12" t="str">
        <x:v>YouTube</x:v>
      </x:c>
      <x:c r="I41" s="12" t="str">
        <x:v>产品发布预告</x:v>
      </x:c>
      <x:c r="J41" s="12" t="str">
        <x:v>2 years ago</x:v>
      </x:c>
      <x:c r="K41" s="12" t="str">
        <x:v>1:34</x:v>
      </x:c>
      <x:c r="L41" s="14" t="n">
        <x:v>125862</x:v>
      </x:c>
      <x:c r="M41" s="12" t="str">
        <x:v>经典 RPG 回归与平台扩展</x:v>
      </x:c>
      <x:c r="N41" s="12" t="str">
        <x:v>125862 次观看</x:v>
      </x:c>
      <x:c r="O41" s="12" t="str">
        <x:v>发布转化</x:v>
      </x:c>
      <x:c r="P41" s="12" t="str">
        <x:v>https://www.youtube.com/watch?v=M2dbbEThIRo</x:v>
      </x:c>
      <x:c r="Q41" s="16" t="n">
        <x:v>46270</x:v>
      </x:c>
    </x:row>
    <x:row r="42" ht="48" customHeight="1">
      <x:c r="A42" s="13" t="n">
        <x:v>38</x:v>
      </x:c>
      <x:c r="B42" s="13" t="str">
        <x:v>美国</x:v>
      </x:c>
      <x:c r="C42" s="13" t="str">
        <x:v>英语</x:v>
      </x:c>
      <x:c r="D42" s="13" t="str">
        <x:v>Monster Hunter Stories 2</x:v>
      </x:c>
      <x:c r="E42" s="13" t="str">
        <x:v>Launch Trailer</x:v>
      </x:c>
      <x:c r="F42" s="13" t="str">
        <x:v>Monster Hunter</x:v>
      </x:c>
      <x:c r="G42" s="13" t="str">
        <x:v>品牌官方</x:v>
      </x:c>
      <x:c r="H42" s="13" t="str">
        <x:v>YouTube</x:v>
      </x:c>
      <x:c r="I42" s="13" t="str">
        <x:v>上线预告</x:v>
      </x:c>
      <x:c r="J42" s="13" t="str">
        <x:v>5 years ago</x:v>
      </x:c>
      <x:c r="K42" s="13" t="str">
        <x:v>2:55</x:v>
      </x:c>
      <x:c r="L42" s="15" t="n">
        <x:v>202528</x:v>
      </x:c>
      <x:c r="M42" s="13" t="str">
        <x:v>伙伴羁绊、宏大故事和怪物养成</x:v>
      </x:c>
      <x:c r="N42" s="13" t="str">
        <x:v>202528 次观看</x:v>
      </x:c>
      <x:c r="O42" s="13" t="str">
        <x:v>发布转化</x:v>
      </x:c>
      <x:c r="P42" s="13" t="str">
        <x:v>https://www.youtube.com/watch?v=BfCeZk0jIxU</x:v>
      </x:c>
      <x:c r="Q42" s="17" t="n">
        <x:v>46270</x:v>
      </x:c>
    </x:row>
    <x:row r="43" ht="48" customHeight="1">
      <x:c r="A43" s="12" t="n">
        <x:v>39</x:v>
      </x:c>
      <x:c r="B43" s="12" t="str">
        <x:v>美国</x:v>
      </x:c>
      <x:c r="C43" s="12" t="str">
        <x:v>英语</x:v>
      </x:c>
      <x:c r="D43" s="12" t="str">
        <x:v>Monster Hunter Stories 3</x:v>
      </x:c>
      <x:c r="E43" s="12" t="str">
        <x:v>Animated Trailer</x:v>
      </x:c>
      <x:c r="F43" s="12" t="str">
        <x:v>Monster Hunter</x:v>
      </x:c>
      <x:c r="G43" s="12" t="str">
        <x:v>品牌官方</x:v>
      </x:c>
      <x:c r="H43" s="12" t="str">
        <x:v>YouTube</x:v>
      </x:c>
      <x:c r="I43" s="12" t="str">
        <x:v>动画叙事预告</x:v>
      </x:c>
      <x:c r="J43" s="12" t="str">
        <x:v>5 months ago</x:v>
      </x:c>
      <x:c r="K43" s="12" t="str">
        <x:v>1:39</x:v>
      </x:c>
      <x:c r="L43" s="14" t="n">
        <x:v>293300</x:v>
      </x:c>
      <x:c r="M43" s="12" t="str">
        <x:v>角色冲突与世界观情绪</x:v>
      </x:c>
      <x:c r="N43" s="12" t="str">
        <x:v>293300 次观看</x:v>
      </x:c>
      <x:c r="O43" s="12" t="str">
        <x:v>世界观叙事</x:v>
      </x:c>
      <x:c r="P43" s="12" t="str">
        <x:v>https://www.youtube.com/watch?v=uM6pjBnv5Ig</x:v>
      </x:c>
      <x:c r="Q43" s="16" t="n">
        <x:v>46270</x:v>
      </x:c>
    </x:row>
    <x:row r="44" ht="48" customHeight="1">
      <x:c r="A44" s="13" t="n">
        <x:v>40</x:v>
      </x:c>
      <x:c r="B44" s="13" t="str">
        <x:v>美国</x:v>
      </x:c>
      <x:c r="C44" s="13" t="str">
        <x:v>英语</x:v>
      </x:c>
      <x:c r="D44" s="13" t="str">
        <x:v>Monster Hunter Stories</x:v>
      </x:c>
      <x:c r="E44" s="13" t="str">
        <x:v>Announcement Trailer PS4 PC Switch</x:v>
      </x:c>
      <x:c r="F44" s="13" t="str">
        <x:v>Capcom USA</x:v>
      </x:c>
      <x:c r="G44" s="13" t="str">
        <x:v>品牌官方</x:v>
      </x:c>
      <x:c r="H44" s="13" t="str">
        <x:v>YouTube</x:v>
      </x:c>
      <x:c r="I44" s="13" t="str">
        <x:v>多平台发布预告</x:v>
      </x:c>
      <x:c r="J44" s="13" t="str">
        <x:v>2 years ago</x:v>
      </x:c>
      <x:c r="K44" s="13" t="str">
        <x:v>1:30</x:v>
      </x:c>
      <x:c r="L44" s="15" t="n">
        <x:v>22443</x:v>
      </x:c>
      <x:c r="M44" s="13" t="str">
        <x:v>平台覆盖、画面升级和经典内容</x:v>
      </x:c>
      <x:c r="N44" s="13" t="str">
        <x:v>22443 次观看</x:v>
      </x:c>
      <x:c r="O44" s="13" t="str">
        <x:v>发布转化</x:v>
      </x:c>
      <x:c r="P44" s="13" t="str">
        <x:v>https://www.youtube.com/watch?v=X1U2bi8_BJU</x:v>
      </x:c>
      <x:c r="Q44" s="17" t="n">
        <x:v>46270</x:v>
      </x:c>
    </x:row>
    <x:row r="45" ht="48" customHeight="1">
      <x:c r="A45" s="12" t="n">
        <x:v>41</x:v>
      </x:c>
      <x:c r="B45" s="12" t="str">
        <x:v>沙特阿拉伯</x:v>
      </x:c>
      <x:c r="C45" s="12" t="str">
        <x:v>阿语</x:v>
      </x:c>
      <x:c r="D45" s="12" t="str">
        <x:v>Pokémon Pokopia</x:v>
      </x:c>
      <x:c r="E45" s="12" t="str">
        <x:v>بوكيمون بوكوبيا مقطع ترويجي خاص</x:v>
      </x:c>
      <x:c r="F45" s="12" t="str">
        <x:v>The Official Pokémon YouTube channel</x:v>
      </x:c>
      <x:c r="G45" s="12" t="str">
        <x:v>品牌官方阿语素材</x:v>
      </x:c>
      <x:c r="H45" s="12" t="str">
        <x:v>YouTube</x:v>
      </x:c>
      <x:c r="I45" s="12" t="str">
        <x:v>阿语特别预告</x:v>
      </x:c>
      <x:c r="J45" s="12" t="str">
        <x:v>6 months ago</x:v>
      </x:c>
      <x:c r="K45" s="12" t="str">
        <x:v>4:34</x:v>
      </x:c>
      <x:c r="L45" s="14" t="n">
        <x:v>316315</x:v>
      </x:c>
      <x:c r="M45" s="12" t="str">
        <x:v>轻松建设、角色陪伴与家庭友好</x:v>
      </x:c>
      <x:c r="N45" s="12" t="str">
        <x:v>316315 次观看</x:v>
      </x:c>
      <x:c r="O45" s="12" t="str">
        <x:v>发布转化</x:v>
      </x:c>
      <x:c r="P45" s="12" t="str">
        <x:v>https://www.youtube.com/watch?v=rR_4nsCu-IA</x:v>
      </x:c>
      <x:c r="Q45" s="16" t="n">
        <x:v>46270</x:v>
      </x:c>
    </x:row>
    <x:row r="46" ht="48" customHeight="1">
      <x:c r="A46" s="13" t="n">
        <x:v>42</x:v>
      </x:c>
      <x:c r="B46" s="13" t="str">
        <x:v>沙特阿拉伯</x:v>
      </x:c>
      <x:c r="C46" s="13" t="str">
        <x:v>阿语</x:v>
      </x:c>
      <x:c r="D46" s="13" t="str">
        <x:v>Star Wars Outlaws</x:v>
      </x:c>
      <x:c r="E46" s="13" t="str">
        <x:v>الإعلان الترويجي الرسمي للإطلاق</x:v>
      </x:c>
      <x:c r="F46" s="13" t="str">
        <x:v>Ubisoft</x:v>
      </x:c>
      <x:c r="G46" s="13" t="str">
        <x:v>品牌官方阿语素材</x:v>
      </x:c>
      <x:c r="H46" s="13" t="str">
        <x:v>YouTube</x:v>
      </x:c>
      <x:c r="I46" s="13" t="str">
        <x:v>阿语上线预告</x:v>
      </x:c>
      <x:c r="J46" s="13" t="str">
        <x:v>2 years ago</x:v>
      </x:c>
      <x:c r="K46" s="13" t="str">
        <x:v>1:35</x:v>
      </x:c>
      <x:c r="L46" s="15" t="n">
        <x:v>586247</x:v>
      </x:c>
      <x:c r="M46" s="13" t="str">
        <x:v>开放世界冒险、动作和电影化体验</x:v>
      </x:c>
      <x:c r="N46" s="13" t="str">
        <x:v>586247 次观看</x:v>
      </x:c>
      <x:c r="O46" s="13" t="str">
        <x:v>发布转化</x:v>
      </x:c>
      <x:c r="P46" s="13" t="str">
        <x:v>https://www.youtube.com/watch?v=HlfuN4yj3yg</x:v>
      </x:c>
      <x:c r="Q46" s="17" t="n">
        <x:v>46270</x:v>
      </x:c>
    </x:row>
    <x:row r="47" ht="48" customHeight="1">
      <x:c r="A47" s="12" t="n">
        <x:v>43</x:v>
      </x:c>
      <x:c r="B47" s="12" t="str">
        <x:v>沙特阿拉伯</x:v>
      </x:c>
      <x:c r="C47" s="12" t="str">
        <x:v>阿语</x:v>
      </x:c>
      <x:c r="D47" s="12" t="str">
        <x:v>Star Wars Outlaws</x:v>
      </x:c>
      <x:c r="E47" s="12" t="str">
        <x:v>الإعلان الرسمي لتجربة اللعب على PC</x:v>
      </x:c>
      <x:c r="F47" s="12" t="str">
        <x:v>Ubisoft</x:v>
      </x:c>
      <x:c r="G47" s="12" t="str">
        <x:v>品牌官方阿语素材</x:v>
      </x:c>
      <x:c r="H47" s="12" t="str">
        <x:v>YouTube</x:v>
      </x:c>
      <x:c r="I47" s="12" t="str">
        <x:v>阿语玩法预告</x:v>
      </x:c>
      <x:c r="J47" s="12" t="str">
        <x:v>2 years ago</x:v>
      </x:c>
      <x:c r="K47" s="12" t="str">
        <x:v>1:46</x:v>
      </x:c>
      <x:c r="L47" s="14" t="n">
        <x:v>199174</x:v>
      </x:c>
      <x:c r="M47" s="12" t="str">
        <x:v>真实玩法、PC 画面和探索自由</x:v>
      </x:c>
      <x:c r="N47" s="12" t="str">
        <x:v>199174 次观看</x:v>
      </x:c>
      <x:c r="O47" s="12" t="str">
        <x:v>玩法证明</x:v>
      </x:c>
      <x:c r="P47" s="12" t="str">
        <x:v>https://www.youtube.com/watch?v=cMqqfkLhuZk</x:v>
      </x:c>
      <x:c r="Q47" s="16" t="n">
        <x:v>46270</x:v>
      </x:c>
    </x:row>
    <x:row r="48" ht="48" customHeight="1">
      <x:c r="A48" s="13" t="n">
        <x:v>44</x:v>
      </x:c>
      <x:c r="B48" s="13" t="str">
        <x:v>沙特阿拉伯</x:v>
      </x:c>
      <x:c r="C48" s="13" t="str">
        <x:v>阿语</x:v>
      </x:c>
      <x:c r="D48" s="13" t="str">
        <x:v>Assassin's Creed Unity</x:v>
      </x:c>
      <x:c r="E48" s="13" t="str">
        <x:v>Launch Trailer إعلان الإطلاق</x:v>
      </x:c>
      <x:c r="F48" s="13" t="str">
        <x:v>PlayStation Arabia بلايستيشن العربية</x:v>
      </x:c>
      <x:c r="G48" s="13" t="str">
        <x:v>区域平台官方</x:v>
      </x:c>
      <x:c r="H48" s="13" t="str">
        <x:v>YouTube</x:v>
      </x:c>
      <x:c r="I48" s="13" t="str">
        <x:v>阿语平台上线预告</x:v>
      </x:c>
      <x:c r="J48" s="13" t="str">
        <x:v>11 years ago</x:v>
      </x:c>
      <x:c r="K48" s="13" t="str">
        <x:v>2:07</x:v>
      </x:c>
      <x:c r="L48" s="15" t="n">
        <x:v>1069</x:v>
      </x:c>
      <x:c r="M48" s="13" t="str">
        <x:v>历史世界、动作与平台购买节点</x:v>
      </x:c>
      <x:c r="N48" s="13" t="str">
        <x:v>1069 次观看</x:v>
      </x:c>
      <x:c r="O48" s="13" t="str">
        <x:v>发布转化</x:v>
      </x:c>
      <x:c r="P48" s="13" t="str">
        <x:v>https://www.youtube.com/watch?v=U9gHAI8KnQc</x:v>
      </x:c>
      <x:c r="Q48" s="17" t="n">
        <x:v>46270</x:v>
      </x:c>
    </x:row>
    <x:row r="49" ht="48" customHeight="1">
      <x:c r="A49" s="12" t="n">
        <x:v>45</x:v>
      </x:c>
      <x:c r="B49" s="12" t="str">
        <x:v>沙特阿拉伯</x:v>
      </x:c>
      <x:c r="C49" s="12" t="str">
        <x:v>阿语</x:v>
      </x:c>
      <x:c r="D49" s="12" t="str">
        <x:v>NO LAW</x:v>
      </x:c>
      <x:c r="E49" s="12" t="str">
        <x:v>الإعلان الرسمي Gamescom ONL 2026</x:v>
      </x:c>
      <x:c r="F49" s="12" t="str">
        <x:v>NO LAW</x:v>
      </x:c>
      <x:c r="G49" s="12" t="str">
        <x:v>品牌官方阿语素材</x:v>
      </x:c>
      <x:c r="H49" s="12" t="str">
        <x:v>YouTube</x:v>
      </x:c>
      <x:c r="I49" s="12" t="str">
        <x:v>阿语展会预告</x:v>
      </x:c>
      <x:c r="J49" s="12" t="str">
        <x:v>10 days ago</x:v>
      </x:c>
      <x:c r="K49" s="12" t="str">
        <x:v>1:32</x:v>
      </x:c>
      <x:c r="L49" s="14" t="n">
        <x:v>680051</x:v>
      </x:c>
      <x:c r="M49" s="12" t="str">
        <x:v>开放世界、动作和高品质画面</x:v>
      </x:c>
      <x:c r="N49" s="12" t="str">
        <x:v>680051 次观看</x:v>
      </x:c>
      <x:c r="O49" s="12" t="str">
        <x:v>发布转化</x:v>
      </x:c>
      <x:c r="P49" s="12" t="str">
        <x:v>https://www.youtube.com/watch?v=ClVyqFt1IJM</x:v>
      </x:c>
      <x:c r="Q49" s="16" t="n">
        <x:v>46270</x:v>
      </x:c>
    </x:row>
    <x:row r="50" ht="48" customHeight="1">
      <x:c r="A50" s="13" t="n">
        <x:v>46</x:v>
      </x:c>
      <x:c r="B50" s="13" t="str">
        <x:v>沙特阿拉伯</x:v>
      </x:c>
      <x:c r="C50" s="13" t="str">
        <x:v>英语 全球参照</x:v>
      </x:c>
      <x:c r="D50" s="13" t="str">
        <x:v>Pokémon</x:v>
      </x:c>
      <x:c r="E50" s="13" t="str">
        <x:v>Pokémon Wild Card Official Teaser Trailer</x:v>
      </x:c>
      <x:c r="F50" s="13" t="str">
        <x:v>The Official Pokémon YouTube channel</x:v>
      </x:c>
      <x:c r="G50" s="13" t="str">
        <x:v>全球品牌官方</x:v>
      </x:c>
      <x:c r="H50" s="13" t="str">
        <x:v>YouTube</x:v>
      </x:c>
      <x:c r="I50" s="13" t="str">
        <x:v>短预告</x:v>
      </x:c>
      <x:c r="J50" s="13" t="str">
        <x:v>5 days ago</x:v>
      </x:c>
      <x:c r="K50" s="13" t="str">
        <x:v>0:40</x:v>
      </x:c>
      <x:c r="L50" s="15" t="n">
        <x:v>2729988</x:v>
      </x:c>
      <x:c r="M50" s="13" t="str">
        <x:v>IP 识别、悬念和讨论驱动</x:v>
      </x:c>
      <x:c r="N50" s="13" t="str">
        <x:v>2729988 次观看；非阿语本地化</x:v>
      </x:c>
      <x:c r="O50" s="13" t="str">
        <x:v>发布转化</x:v>
      </x:c>
      <x:c r="P50" s="13" t="str">
        <x:v>https://www.youtube.com/watch?v=H6_jMQ6whtQ</x:v>
      </x:c>
      <x:c r="Q50" s="17" t="n">
        <x:v>46270</x:v>
      </x:c>
    </x:row>
    <x:row r="51" ht="48" customHeight="1">
      <x:c r="A51" s="12" t="n">
        <x:v>47</x:v>
      </x:c>
      <x:c r="B51" s="12" t="str">
        <x:v>沙特阿拉伯</x:v>
      </x:c>
      <x:c r="C51" s="12" t="str">
        <x:v>英语 全球参照</x:v>
      </x:c>
      <x:c r="D51" s="12" t="str">
        <x:v>Pokémon Champions</x:v>
      </x:c>
      <x:c r="E51" s="12" t="str">
        <x:v>Z Mega Evolutions Championships Trailer</x:v>
      </x:c>
      <x:c r="F51" s="12" t="str">
        <x:v>The Official Pokémon YouTube channel</x:v>
      </x:c>
      <x:c r="G51" s="12" t="str">
        <x:v>全球品牌官方</x:v>
      </x:c>
      <x:c r="H51" s="12" t="str">
        <x:v>YouTube</x:v>
      </x:c>
      <x:c r="I51" s="12" t="str">
        <x:v>竞技预告</x:v>
      </x:c>
      <x:c r="J51" s="12" t="str">
        <x:v>5 days ago</x:v>
      </x:c>
      <x:c r="K51" s="12" t="str">
        <x:v>1:17</x:v>
      </x:c>
      <x:c r="L51" s="14" t="n">
        <x:v>386203</x:v>
      </x:c>
      <x:c r="M51" s="12" t="str">
        <x:v>稀有形态、竞技和赛事节点</x:v>
      </x:c>
      <x:c r="N51" s="12" t="str">
        <x:v>386203 次观看；非阿语本地化</x:v>
      </x:c>
      <x:c r="O51" s="12" t="str">
        <x:v>发布转化</x:v>
      </x:c>
      <x:c r="P51" s="12" t="str">
        <x:v>https://www.youtube.com/watch?v=FVm9o4R4UIs</x:v>
      </x:c>
      <x:c r="Q51" s="16" t="n">
        <x:v>46270</x:v>
      </x:c>
    </x:row>
    <x:row r="52" ht="48" customHeight="1">
      <x:c r="A52" s="13" t="n">
        <x:v>48</x:v>
      </x:c>
      <x:c r="B52" s="13" t="str">
        <x:v>沙特阿拉伯</x:v>
      </x:c>
      <x:c r="C52" s="13" t="str">
        <x:v>英语 全球参照</x:v>
      </x:c>
      <x:c r="D52" s="13" t="str">
        <x:v>Pokémon Let's Go</x:v>
      </x:c>
      <x:c r="E52" s="13" t="str">
        <x:v>Pikachu and Eevee Trailer</x:v>
      </x:c>
      <x:c r="F52" s="13" t="str">
        <x:v>The Official Pokémon YouTube channel</x:v>
      </x:c>
      <x:c r="G52" s="13" t="str">
        <x:v>全球品牌官方</x:v>
      </x:c>
      <x:c r="H52" s="13" t="str">
        <x:v>YouTube</x:v>
      </x:c>
      <x:c r="I52" s="13" t="str">
        <x:v>产品预告</x:v>
      </x:c>
      <x:c r="J52" s="13" t="str">
        <x:v>8 years ago</x:v>
      </x:c>
      <x:c r="K52" s="13" t="str">
        <x:v>3:19</x:v>
      </x:c>
      <x:c r="L52" s="15" t="n">
        <x:v>21700122</x:v>
      </x:c>
      <x:c r="M52" s="13" t="str">
        <x:v>伙伴选择、经典 IP 和低门槛</x:v>
      </x:c>
      <x:c r="N52" s="13" t="str">
        <x:v>21700122 次观看；非阿语本地化</x:v>
      </x:c>
      <x:c r="O52" s="13" t="str">
        <x:v>发布转化</x:v>
      </x:c>
      <x:c r="P52" s="13" t="str">
        <x:v>https://www.youtube.com/watch?v=9jRtpMKLsts</x:v>
      </x:c>
      <x:c r="Q52" s="17" t="n">
        <x:v>46270</x:v>
      </x:c>
    </x:row>
    <x:row r="53" ht="48" customHeight="1">
      <x:c r="A53" s="12" t="n">
        <x:v>49</x:v>
      </x:c>
      <x:c r="B53" s="12" t="str">
        <x:v>沙特阿拉伯</x:v>
      </x:c>
      <x:c r="C53" s="12" t="str">
        <x:v>英语 全球参照</x:v>
      </x:c>
      <x:c r="D53" s="12" t="str">
        <x:v>Pokémon Pokopia</x:v>
      </x:c>
      <x:c r="E53" s="12" t="str">
        <x:v>Launch Trailer Nintendo Switch 2</x:v>
      </x:c>
      <x:c r="F53" s="12" t="str">
        <x:v>Nintendo of America</x:v>
      </x:c>
      <x:c r="G53" s="12" t="str">
        <x:v>全球平台官方</x:v>
      </x:c>
      <x:c r="H53" s="12" t="str">
        <x:v>YouTube</x:v>
      </x:c>
      <x:c r="I53" s="12" t="str">
        <x:v>玩法上线预告</x:v>
      </x:c>
      <x:c r="J53" s="12" t="str">
        <x:v>6 months ago</x:v>
      </x:c>
      <x:c r="K53" s="12" t="str">
        <x:v>3:23</x:v>
      </x:c>
      <x:c r="L53" s="14" t="n">
        <x:v>653058</x:v>
      </x:c>
      <x:c r="M53" s="12" t="str">
        <x:v>家庭友好、建造与陪伴</x:v>
      </x:c>
      <x:c r="N53" s="12" t="str">
        <x:v>653058 次观看；非阿语本地化</x:v>
      </x:c>
      <x:c r="O53" s="12" t="str">
        <x:v>玩法证明</x:v>
      </x:c>
      <x:c r="P53" s="12" t="str">
        <x:v>https://www.youtube.com/watch?v=-zpr21HzJ9Q</x:v>
      </x:c>
      <x:c r="Q53" s="16" t="n">
        <x:v>46270</x:v>
      </x:c>
    </x:row>
    <x:row r="54" ht="48" customHeight="1">
      <x:c r="A54" s="13" t="n">
        <x:v>50</x:v>
      </x:c>
      <x:c r="B54" s="13" t="str">
        <x:v>沙特阿拉伯</x:v>
      </x:c>
      <x:c r="C54" s="13" t="str">
        <x:v>英语 全球参照</x:v>
      </x:c>
      <x:c r="D54" s="13" t="str">
        <x:v>Pokémon ORAS</x:v>
      </x:c>
      <x:c r="E54" s="13" t="str">
        <x:v>Animated Trailer</x:v>
      </x:c>
      <x:c r="F54" s="13" t="str">
        <x:v>The Official Pokémon YouTube channel</x:v>
      </x:c>
      <x:c r="G54" s="13" t="str">
        <x:v>全球品牌官方</x:v>
      </x:c>
      <x:c r="H54" s="13" t="str">
        <x:v>YouTube</x:v>
      </x:c>
      <x:c r="I54" s="13" t="str">
        <x:v>动画预告</x:v>
      </x:c>
      <x:c r="J54" s="13" t="str">
        <x:v>11 years ago</x:v>
      </x:c>
      <x:c r="K54" s="13" t="str">
        <x:v>4:07</x:v>
      </x:c>
      <x:c r="L54" s="15" t="n">
        <x:v>83558402</x:v>
      </x:c>
      <x:c r="M54" s="13" t="str">
        <x:v>战斗、友情、怀旧与高制作动画</x:v>
      </x:c>
      <x:c r="N54" s="13" t="str">
        <x:v>83558402 次观看；非阿语本地化</x:v>
      </x:c>
      <x:c r="O54" s="13" t="str">
        <x:v>世界观叙事</x:v>
      </x:c>
      <x:c r="P54" s="13" t="str">
        <x:v>https://www.youtube.com/watch?v=Vw6zP7n0ais</x:v>
      </x:c>
      <x:c r="Q54" s="17" t="n">
        <x:v>46270</x:v>
      </x:c>
    </x:row>
    <x:row r="55" ht="48" customHeight="1">
      <x:c r="A55" s="12" t="n">
        <x:v>51</x:v>
      </x:c>
      <x:c r="B55" s="12" t="str">
        <x:v>沙特阿拉伯</x:v>
      </x:c>
      <x:c r="C55" s="12" t="str">
        <x:v>英语 全球参照</x:v>
      </x:c>
      <x:c r="D55" s="12" t="str">
        <x:v>Palworld</x:v>
      </x:c>
      <x:c r="E55" s="12" t="str">
        <x:v>1.0 Official Launch Trailer</x:v>
      </x:c>
      <x:c r="F55" s="12" t="str">
        <x:v>Pocketpair Palworld</x:v>
      </x:c>
      <x:c r="G55" s="12" t="str">
        <x:v>全球品牌官方</x:v>
      </x:c>
      <x:c r="H55" s="12" t="str">
        <x:v>YouTube</x:v>
      </x:c>
      <x:c r="I55" s="12" t="str">
        <x:v>上线预告</x:v>
      </x:c>
      <x:c r="J55" s="12" t="str">
        <x:v>1 month ago</x:v>
      </x:c>
      <x:c r="K55" s="12" t="str">
        <x:v>2:33</x:v>
      </x:c>
      <x:c r="L55" s="14" t="n">
        <x:v>1193681</x:v>
      </x:c>
      <x:c r="M55" s="12" t="str">
        <x:v>生物伙伴、开放世界、多人和建造</x:v>
      </x:c>
      <x:c r="N55" s="12" t="str">
        <x:v>1193681 次观看；非阿语本地化</x:v>
      </x:c>
      <x:c r="O55" s="12" t="str">
        <x:v>发布转化</x:v>
      </x:c>
      <x:c r="P55" s="12" t="str">
        <x:v>https://www.youtube.com/watch?v=1fpGg9wNM9A</x:v>
      </x:c>
      <x:c r="Q55" s="16" t="n">
        <x:v>46270</x:v>
      </x:c>
    </x:row>
    <x:row r="56" ht="48" customHeight="1">
      <x:c r="A56" s="13" t="n">
        <x:v>52</x:v>
      </x:c>
      <x:c r="B56" s="13" t="str">
        <x:v>沙特阿拉伯</x:v>
      </x:c>
      <x:c r="C56" s="13" t="str">
        <x:v>英语 全球参照</x:v>
      </x:c>
      <x:c r="D56" s="13" t="str">
        <x:v>Palworld</x:v>
      </x:c>
      <x:c r="E56" s="13" t="str">
        <x:v>Game Preview Launch Trailer</x:v>
      </x:c>
      <x:c r="F56" s="13" t="str">
        <x:v>XBOX</x:v>
      </x:c>
      <x:c r="G56" s="13" t="str">
        <x:v>全球平台官方</x:v>
      </x:c>
      <x:c r="H56" s="13" t="str">
        <x:v>YouTube</x:v>
      </x:c>
      <x:c r="I56" s="13" t="str">
        <x:v>平台玩法预告</x:v>
      </x:c>
      <x:c r="J56" s="13" t="str">
        <x:v>2 years ago</x:v>
      </x:c>
      <x:c r="K56" s="13" t="str">
        <x:v>3:11</x:v>
      </x:c>
      <x:c r="L56" s="15" t="n">
        <x:v>915895</x:v>
      </x:c>
      <x:c r="M56" s="13" t="str">
        <x:v>玩法组合与主机生态</x:v>
      </x:c>
      <x:c r="N56" s="13" t="str">
        <x:v>915895 次观看；非阿语本地化</x:v>
      </x:c>
      <x:c r="O56" s="13" t="str">
        <x:v>玩法证明</x:v>
      </x:c>
      <x:c r="P56" s="13" t="str">
        <x:v>https://www.youtube.com/watch?v=uV0zfAwazcs</x:v>
      </x:c>
      <x:c r="Q56" s="17" t="n">
        <x:v>46270</x:v>
      </x:c>
    </x:row>
    <x:row r="57" ht="48" customHeight="1">
      <x:c r="A57" s="12" t="n">
        <x:v>53</x:v>
      </x:c>
      <x:c r="B57" s="12" t="str">
        <x:v>沙特阿拉伯</x:v>
      </x:c>
      <x:c r="C57" s="12" t="str">
        <x:v>英语 全球参照</x:v>
      </x:c>
      <x:c r="D57" s="12" t="str">
        <x:v>Palworld</x:v>
      </x:c>
      <x:c r="E57" s="12" t="str">
        <x:v>Sakurajima Update Trailer</x:v>
      </x:c>
      <x:c r="F57" s="12" t="str">
        <x:v>Pocketpair Palworld</x:v>
      </x:c>
      <x:c r="G57" s="12" t="str">
        <x:v>全球品牌官方</x:v>
      </x:c>
      <x:c r="H57" s="12" t="str">
        <x:v>YouTube</x:v>
      </x:c>
      <x:c r="I57" s="12" t="str">
        <x:v>版本更新预告</x:v>
      </x:c>
      <x:c r="J57" s="12" t="str">
        <x:v>2 years ago</x:v>
      </x:c>
      <x:c r="K57" s="12" t="str">
        <x:v>1:31</x:v>
      </x:c>
      <x:c r="L57" s="14" t="n">
        <x:v>444456</x:v>
      </x:c>
      <x:c r="M57" s="12" t="str">
        <x:v>新区域、新伙伴和持续运营</x:v>
      </x:c>
      <x:c r="N57" s="12" t="str">
        <x:v>444456 次观看；非阿语本地化</x:v>
      </x:c>
      <x:c r="O57" s="12" t="str">
        <x:v>长期运营</x:v>
      </x:c>
      <x:c r="P57" s="12" t="str">
        <x:v>https://www.youtube.com/watch?v=fKzLdPZr2Fk</x:v>
      </x:c>
      <x:c r="Q57" s="16" t="n">
        <x:v>46270</x:v>
      </x:c>
    </x:row>
    <x:row r="58" ht="48" customHeight="1">
      <x:c r="A58" s="13" t="n">
        <x:v>54</x:v>
      </x:c>
      <x:c r="B58" s="13" t="str">
        <x:v>沙特阿拉伯</x:v>
      </x:c>
      <x:c r="C58" s="13" t="str">
        <x:v>英语 全球参照</x:v>
      </x:c>
      <x:c r="D58" s="13" t="str">
        <x:v>Palworld</x:v>
      </x:c>
      <x:c r="E58" s="13" t="str">
        <x:v>Pal Reveal Trailer</x:v>
      </x:c>
      <x:c r="F58" s="13" t="str">
        <x:v>GameSpot Trailers</x:v>
      </x:c>
      <x:c r="G58" s="13" t="str">
        <x:v>头部游戏媒体</x:v>
      </x:c>
      <x:c r="H58" s="13" t="str">
        <x:v>YouTube</x:v>
      </x:c>
      <x:c r="I58" s="13" t="str">
        <x:v>生物角色预告</x:v>
      </x:c>
      <x:c r="J58" s="13" t="str">
        <x:v>3 years ago</x:v>
      </x:c>
      <x:c r="K58" s="13" t="str">
        <x:v>1:33</x:v>
      </x:c>
      <x:c r="L58" s="15" t="n">
        <x:v>526437</x:v>
      </x:c>
      <x:c r="M58" s="13" t="str">
        <x:v>生物多样性和角色记忆点</x:v>
      </x:c>
      <x:c r="N58" s="13" t="str">
        <x:v>526437 次观看；非阿语本地化</x:v>
      </x:c>
      <x:c r="O58" s="13" t="str">
        <x:v>角色与IP</x:v>
      </x:c>
      <x:c r="P58" s="13" t="str">
        <x:v>https://www.youtube.com/watch?v=uQso8Qhne6U</x:v>
      </x:c>
      <x:c r="Q58" s="17" t="n">
        <x:v>46270</x:v>
      </x:c>
    </x:row>
    <x:row r="59" ht="48" customHeight="1">
      <x:c r="A59" s="12" t="n">
        <x:v>55</x:v>
      </x:c>
      <x:c r="B59" s="12" t="str">
        <x:v>沙特阿拉伯</x:v>
      </x:c>
      <x:c r="C59" s="12" t="str">
        <x:v>英语 全球参照</x:v>
      </x:c>
      <x:c r="D59" s="12" t="str">
        <x:v>Palworld</x:v>
      </x:c>
      <x:c r="E59" s="12" t="str">
        <x:v>Gameplay Trailer TGS 2023</x:v>
      </x:c>
      <x:c r="F59" s="12" t="str">
        <x:v>IGN</x:v>
      </x:c>
      <x:c r="G59" s="12" t="str">
        <x:v>头部游戏媒体</x:v>
      </x:c>
      <x:c r="H59" s="12" t="str">
        <x:v>YouTube</x:v>
      </x:c>
      <x:c r="I59" s="12" t="str">
        <x:v>玩法短预告</x:v>
      </x:c>
      <x:c r="J59" s="12" t="str">
        <x:v>2 years ago</x:v>
      </x:c>
      <x:c r="K59" s="12" t="str">
        <x:v>1:03</x:v>
      </x:c>
      <x:c r="L59" s="14" t="n">
        <x:v>927309</x:v>
      </x:c>
      <x:c r="M59" s="12" t="str">
        <x:v>快速证明战斗、骑乘与世界互动</x:v>
      </x:c>
      <x:c r="N59" s="12" t="str">
        <x:v>927309 次观看；非阿语本地化</x:v>
      </x:c>
      <x:c r="O59" s="12" t="str">
        <x:v>玩法证明</x:v>
      </x:c>
      <x:c r="P59" s="12" t="str">
        <x:v>https://www.youtube.com/watch?v=sg_HDQd-kgM</x:v>
      </x:c>
      <x:c r="Q59" s="16" t="n">
        <x:v>46270</x:v>
      </x:c>
    </x:row>
    <x:row r="60" ht="48" customHeight="1">
      <x:c r="A60" s="13" t="n">
        <x:v>56</x:v>
      </x:c>
      <x:c r="B60" s="13" t="str">
        <x:v>沙特阿拉伯</x:v>
      </x:c>
      <x:c r="C60" s="13" t="str">
        <x:v>英语 全球参照</x:v>
      </x:c>
      <x:c r="D60" s="13" t="str">
        <x:v>Genshin Impact</x:v>
      </x:c>
      <x:c r="E60" s="13" t="str">
        <x:v>Teyvat Chapter Storyline Preview Travail</x:v>
      </x:c>
      <x:c r="F60" s="13" t="str">
        <x:v>Genshin Impact</x:v>
      </x:c>
      <x:c r="G60" s="13" t="str">
        <x:v>全球品牌官方</x:v>
      </x:c>
      <x:c r="H60" s="13" t="str">
        <x:v>YouTube</x:v>
      </x:c>
      <x:c r="I60" s="13" t="str">
        <x:v>世界观路线预告</x:v>
      </x:c>
      <x:c r="J60" s="13" t="str">
        <x:v>5 years ago</x:v>
      </x:c>
      <x:c r="K60" s="13" t="str">
        <x:v>4:19</x:v>
      </x:c>
      <x:c r="L60" s="15" t="n">
        <x:v>25253495</x:v>
      </x:c>
      <x:c r="M60" s="13" t="str">
        <x:v>长期地区叙事和角色期待</x:v>
      </x:c>
      <x:c r="N60" s="13" t="str">
        <x:v>25253495 次观看；非阿语本地化</x:v>
      </x:c>
      <x:c r="O60" s="13" t="str">
        <x:v>世界观叙事</x:v>
      </x:c>
      <x:c r="P60" s="13" t="str">
        <x:v>https://www.youtube.com/watch?v=TAlKhARUcoY</x:v>
      </x:c>
      <x:c r="Q60" s="17" t="n">
        <x:v>46270</x:v>
      </x:c>
    </x:row>
    <x:row r="61" ht="48" customHeight="1">
      <x:c r="A61" s="12" t="n">
        <x:v>57</x:v>
      </x:c>
      <x:c r="B61" s="12" t="str">
        <x:v>沙特阿拉伯</x:v>
      </x:c>
      <x:c r="C61" s="12" t="str">
        <x:v>英语 全球参照</x:v>
      </x:c>
      <x:c r="D61" s="12" t="str">
        <x:v>Genshin Impact</x:v>
      </x:c>
      <x:c r="E61" s="12" t="str">
        <x:v>A Winter Night's Lazzo</x:v>
      </x:c>
      <x:c r="F61" s="12" t="str">
        <x:v>Genshin Impact</x:v>
      </x:c>
      <x:c r="G61" s="12" t="str">
        <x:v>全球品牌官方</x:v>
      </x:c>
      <x:c r="H61" s="12" t="str">
        <x:v>YouTube</x:v>
      </x:c>
      <x:c r="I61" s="12" t="str">
        <x:v>群像剧情短片</x:v>
      </x:c>
      <x:c r="J61" s="12" t="str">
        <x:v>4 years ago</x:v>
      </x:c>
      <x:c r="K61" s="12" t="str">
        <x:v>4:19</x:v>
      </x:c>
      <x:c r="L61" s="14" t="n">
        <x:v>22726774</x:v>
      </x:c>
      <x:c r="M61" s="12" t="str">
        <x:v>角色群像、悬念和社区讨论</x:v>
      </x:c>
      <x:c r="N61" s="12" t="str">
        <x:v>22726774 次观看；非阿语本地化</x:v>
      </x:c>
      <x:c r="O61" s="12" t="str">
        <x:v>世界观叙事</x:v>
      </x:c>
      <x:c r="P61" s="12" t="str">
        <x:v>https://www.youtube.com/watch?v=TmaAOV4SJNQ</x:v>
      </x:c>
      <x:c r="Q61" s="16" t="n">
        <x:v>46270</x:v>
      </x:c>
    </x:row>
    <x:row r="62" ht="48" customHeight="1">
      <x:c r="A62" s="13" t="n">
        <x:v>58</x:v>
      </x:c>
      <x:c r="B62" s="13" t="str">
        <x:v>沙特阿拉伯</x:v>
      </x:c>
      <x:c r="C62" s="13" t="str">
        <x:v>英语 全球参照</x:v>
      </x:c>
      <x:c r="D62" s="13" t="str">
        <x:v>Genshin Impact</x:v>
      </x:c>
      <x:c r="E62" s="13" t="str">
        <x:v>Mavuika Blazing Heart Character Trailer</x:v>
      </x:c>
      <x:c r="F62" s="13" t="str">
        <x:v>Genshin Impact</x:v>
      </x:c>
      <x:c r="G62" s="13" t="str">
        <x:v>全球品牌官方</x:v>
      </x:c>
      <x:c r="H62" s="13" t="str">
        <x:v>YouTube</x:v>
      </x:c>
      <x:c r="I62" s="13" t="str">
        <x:v>角色预告</x:v>
      </x:c>
      <x:c r="J62" s="13" t="str">
        <x:v>1 year ago</x:v>
      </x:c>
      <x:c r="K62" s="13" t="str">
        <x:v>3:06</x:v>
      </x:c>
      <x:c r="L62" s="15" t="n">
        <x:v>6738746</x:v>
      </x:c>
      <x:c r="M62" s="13" t="str">
        <x:v>英雄角色、动作表现和音乐</x:v>
      </x:c>
      <x:c r="N62" s="13" t="str">
        <x:v>6738746 次观看；非阿语本地化</x:v>
      </x:c>
      <x:c r="O62" s="13" t="str">
        <x:v>角色与IP</x:v>
      </x:c>
      <x:c r="P62" s="13" t="str">
        <x:v>https://www.youtube.com/watch?v=fd5vxULcZYw</x:v>
      </x:c>
      <x:c r="Q62" s="17" t="n">
        <x:v>46270</x:v>
      </x:c>
    </x:row>
    <x:row r="63" ht="48" customHeight="1">
      <x:c r="A63" s="12" t="n">
        <x:v>59</x:v>
      </x:c>
      <x:c r="B63" s="12" t="str">
        <x:v>沙特阿拉伯</x:v>
      </x:c>
      <x:c r="C63" s="12" t="str">
        <x:v>英语 全球参照</x:v>
      </x:c>
      <x:c r="D63" s="12" t="str">
        <x:v>Genshin Impact</x:v>
      </x:c>
      <x:c r="E63" s="12" t="str">
        <x:v>La vaguelette Story Teaser</x:v>
      </x:c>
      <x:c r="F63" s="12" t="str">
        <x:v>Genshin Impact</x:v>
      </x:c>
      <x:c r="G63" s="12" t="str">
        <x:v>全球品牌官方</x:v>
      </x:c>
      <x:c r="H63" s="12" t="str">
        <x:v>YouTube</x:v>
      </x:c>
      <x:c r="I63" s="12" t="str">
        <x:v>情绪剧情短片</x:v>
      </x:c>
      <x:c r="J63" s="12" t="str">
        <x:v>2 years ago</x:v>
      </x:c>
      <x:c r="K63" s="12" t="str">
        <x:v>2:39</x:v>
      </x:c>
      <x:c r="L63" s="14" t="n">
        <x:v>7501872</x:v>
      </x:c>
      <x:c r="M63" s="12" t="str">
        <x:v>音乐、情感叙事和角色关系</x:v>
      </x:c>
      <x:c r="N63" s="12" t="str">
        <x:v>7501872 次观看；非阿语本地化</x:v>
      </x:c>
      <x:c r="O63" s="12" t="str">
        <x:v>世界观叙事</x:v>
      </x:c>
      <x:c r="P63" s="12" t="str">
        <x:v>https://www.youtube.com/watch?v=kglEsR7bqAY</x:v>
      </x:c>
      <x:c r="Q63" s="16" t="n">
        <x:v>46270</x:v>
      </x:c>
    </x:row>
    <x:row r="64" ht="48" customHeight="1">
      <x:c r="A64" s="13" t="n">
        <x:v>60</x:v>
      </x:c>
      <x:c r="B64" s="13" t="str">
        <x:v>沙特阿拉伯</x:v>
      </x:c>
      <x:c r="C64" s="13" t="str">
        <x:v>英语 全球参照</x:v>
      </x:c>
      <x:c r="D64" s="13" t="str">
        <x:v>Genshin Impact</x:v>
      </x:c>
      <x:c r="E64" s="13" t="str">
        <x:v>The Gods' Limits Interlude Teaser</x:v>
      </x:c>
      <x:c r="F64" s="13" t="str">
        <x:v>Genshin Impact</x:v>
      </x:c>
      <x:c r="G64" s="13" t="str">
        <x:v>全球品牌官方</x:v>
      </x:c>
      <x:c r="H64" s="13" t="str">
        <x:v>YouTube</x:v>
      </x:c>
      <x:c r="I64" s="13" t="str">
        <x:v>世界观长预告</x:v>
      </x:c>
      <x:c r="J64" s="13" t="str">
        <x:v>1 year ago</x:v>
      </x:c>
      <x:c r="K64" s="13" t="str">
        <x:v>8:55</x:v>
      </x:c>
      <x:c r="L64" s="15" t="n">
        <x:v>6321146</x:v>
      </x:c>
      <x:c r="M64" s="13" t="str">
        <x:v>宏大设定、阵营和长期叙事</x:v>
      </x:c>
      <x:c r="N64" s="13" t="str">
        <x:v>6321146 次观看；非阿语本地化</x:v>
      </x:c>
      <x:c r="O64" s="13" t="str">
        <x:v>世界观叙事</x:v>
      </x:c>
      <x:c r="P64" s="13" t="str">
        <x:v>https://www.youtube.com/watch?v=jvXVmvW8ZQw</x:v>
      </x:c>
      <x:c r="Q64" s="17" t="n">
        <x:v>46270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9864e00b35241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62" hidden="0" customWidth="1"/>
  </x:cols>
  <x:sheetData>
    <x:row r="1">
      <x:c r="A1" s="18" t="str">
        <x:v>市场素材摘要</x:v>
      </x:c>
    </x:row>
    <x:row r="2">
      <x:c r="A2" s="2" t="str">
        <x:v>用于比较素材结构和公开观看规模，不把观看量直接解释为转化或素材质量。</x:v>
      </x:c>
    </x:row>
    <x:row r="4">
      <x:c r="A4" s="26" t="str">
        <x:v>市场</x:v>
      </x:c>
      <x:c r="B4" s="26" t="str">
        <x:v>素材数</x:v>
      </x:c>
      <x:c r="C4" s="26" t="str">
        <x:v>公开观看总数</x:v>
      </x:c>
      <x:c r="D4" s="26" t="str">
        <x:v>平均观看数</x:v>
      </x:c>
      <x:c r="E4" s="26" t="str">
        <x:v>阿语或当地语言条数</x:v>
      </x:c>
      <x:c r="F4" s="26" t="str">
        <x:v>全球参照条数</x:v>
      </x:c>
      <x:c r="G4" s="26" t="str">
        <x:v>主要发现</x:v>
      </x:c>
    </x:row>
    <x:row r="5" ht="60" customHeight="1">
      <x:c r="A5" s="27" t="str">
        <x:v>日本</x:v>
      </x:c>
      <x:c r="B5" s="29" t="n">
        <x:f>COUNTIF('市场素材库'!$B$5:$B$64,A5)</x:f>
        <x:v>20</x:v>
      </x:c>
      <x:c r="C5" s="29" t="n">
        <x:f>SUMIF('市场素材库'!$B$5:$B$64,A5,'市场素材库'!$L$5:$L$64)</x:f>
        <x:v>38070002</x:v>
      </x:c>
      <x:c r="D5" s="29" t="n">
        <x:f>C5/B5</x:f>
        <x:v>1903500.1</x:v>
      </x:c>
      <x:c r="E5" s="29" t="n">
        <x:v>20</x:v>
      </x:c>
      <x:c r="F5" s="29" t="n">
        <x:v>0</x:v>
      </x:c>
      <x:c r="G5" s="27" t="str">
        <x:v>角色关系、系列化角色内容和本地声优叙事较突出；长短内容并存。</x:v>
      </x:c>
    </x:row>
    <x:row r="6" ht="60" customHeight="1">
      <x:c r="A6" s="27" t="str">
        <x:v>美国</x:v>
      </x:c>
      <x:c r="B6" s="29" t="n">
        <x:f>COUNTIF('市场素材库'!$B$5:$B$64,A6)</x:f>
        <x:v>20</x:v>
      </x:c>
      <x:c r="C6" s="29" t="n">
        <x:f>SUMIF('市场素材库'!$B$5:$B$64,A6,'市场素材库'!$L$5:$L$64)</x:f>
        <x:v>182172160</x:v>
      </x:c>
      <x:c r="D6" s="29" t="n">
        <x:f>C6/B6</x:f>
        <x:v>9108608</x:v>
      </x:c>
      <x:c r="E6" s="29" t="n">
        <x:v>20</x:v>
      </x:c>
      <x:c r="F6" s="29" t="n">
        <x:v>0</x:v>
      </x:c>
      <x:c r="G6" s="27" t="str">
        <x:v>玩法证据、平台发布和角色演示强；标题直接说明功能与更新。</x:v>
      </x:c>
    </x:row>
    <x:row r="7" ht="60" customHeight="1">
      <x:c r="A7" s="27" t="str">
        <x:v>沙特阿拉伯</x:v>
      </x:c>
      <x:c r="B7" s="29" t="n">
        <x:f>COUNTIF('市场素材库'!$B$5:$B$64,A7)</x:f>
        <x:v>20</x:v>
      </x:c>
      <x:c r="C7" s="29" t="n">
        <x:f>SUMIF('市场素材库'!$B$5:$B$64,A7,'市场素材库'!$L$5:$L$64)</x:f>
        <x:v>183360440</x:v>
      </x:c>
      <x:c r="D7" s="29" t="n">
        <x:f>C7/B7</x:f>
        <x:v>9168022</x:v>
      </x:c>
      <x:c r="E7" s="29" t="n">
        <x:v>5</x:v>
      </x:c>
      <x:c r="F7" s="29" t="n">
        <x:v>15</x:v>
      </x:c>
      <x:c r="G7" s="27" t="str">
        <x:v>阿语同品类官方样本稀缺，区域平台和全球英语素材共同构成参照；先解决语言与文化审核资源。</x:v>
      </x:c>
    </x:row>
    <x:row r="10">
      <x:c r="A10" s="22" t="str">
        <x:v>市场</x:v>
      </x:c>
      <x:c r="B10" s="22" t="str">
        <x:v>发布转化</x:v>
      </x:c>
      <x:c r="C10" s="22" t="str">
        <x:v>玩法证明</x:v>
      </x:c>
      <x:c r="D10" s="22" t="str">
        <x:v>角色与IP</x:v>
      </x:c>
    </x:row>
    <x:row r="11">
      <x:c r="A11" s="23" t="str">
        <x:v>日本</x:v>
      </x:c>
      <x:c r="B11" s="32" t="n">
        <x:f>COUNTIFS('市场素材库'!$B$5:$B$64,$A11,'市场素材库'!$O$5:$O$64,B$10)</x:f>
        <x:v>8</x:v>
      </x:c>
      <x:c r="C11" s="32" t="n">
        <x:f>COUNTIFS('市场素材库'!$B$5:$B$64,$A11,'市场素材库'!$O$5:$O$64,C$10)</x:f>
        <x:v>3</x:v>
      </x:c>
      <x:c r="D11" s="32" t="n">
        <x:f>COUNTIFS('市场素材库'!$B$5:$B$64,$A11,'市场素材库'!$O$5:$O$64,D$10)</x:f>
        <x:v>2</x:v>
      </x:c>
    </x:row>
    <x:row r="12">
      <x:c r="A12" s="23" t="str">
        <x:v>美国</x:v>
      </x:c>
      <x:c r="B12" s="32" t="n">
        <x:f>COUNTIFS('市场素材库'!$B$5:$B$64,$A12,'市场素材库'!$O$5:$O$64,B$10)</x:f>
        <x:v>10</x:v>
      </x:c>
      <x:c r="C12" s="32" t="n">
        <x:f>COUNTIFS('市场素材库'!$B$5:$B$64,$A12,'市场素材库'!$O$5:$O$64,C$10)</x:f>
        <x:v>2</x:v>
      </x:c>
      <x:c r="D12" s="32" t="n">
        <x:f>COUNTIFS('市场素材库'!$B$5:$B$64,$A12,'市场素材库'!$O$5:$O$64,D$10)</x:f>
        <x:v>2</x:v>
      </x:c>
    </x:row>
    <x:row r="13">
      <x:c r="A13" s="23" t="str">
        <x:v>沙特阿拉伯</x:v>
      </x:c>
      <x:c r="B13" s="32" t="n">
        <x:f>COUNTIFS('市场素材库'!$B$5:$B$64,$A13,'市场素材库'!$O$5:$O$64,B$10)</x:f>
        <x:v>8</x:v>
      </x:c>
      <x:c r="C13" s="32" t="n">
        <x:f>COUNTIFS('市场素材库'!$B$5:$B$64,$A13,'市场素材库'!$O$5:$O$64,C$10)</x:f>
        <x:v>4</x:v>
      </x:c>
      <x:c r="D13" s="32" t="n">
        <x:f>COUNTIFS('市场素材库'!$B$5:$B$64,$A13,'市场素材库'!$O$5:$O$64,D$10)</x:f>
        <x:v>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5" hidden="0" customWidth="1"/>
    <x:col min="3" max="3" width="42" hidden="0" customWidth="1"/>
    <x:col min="4" max="4" width="45" hidden="0" customWidth="1"/>
  </x:cols>
  <x:sheetData>
    <x:row r="1">
      <x:c r="A1" s="18" t="str">
        <x:v>编码字典</x:v>
      </x:c>
    </x:row>
    <x:row r="3">
      <x:c r="A3" s="24" t="str">
        <x:v>字段</x:v>
      </x:c>
      <x:c r="B3" s="24" t="str">
        <x:v>定义</x:v>
      </x:c>
      <x:c r="C3" s="24" t="str">
        <x:v>应用</x:v>
      </x:c>
      <x:c r="D3" s="24" t="str">
        <x:v>限制</x:v>
      </x:c>
    </x:row>
    <x:row r="4" ht="48" customHeight="1">
      <x:c r="A4" s="25" t="str">
        <x:v>公开观看数</x:v>
      </x:c>
      <x:c r="B4" s="25" t="str">
        <x:v>采集时搜索结果页显示的 YouTube 观看次数</x:v>
      </x:c>
      <x:c r="C4" s="25" t="str">
        <x:v>作为传播规模参照</x:v>
      </x:c>
      <x:c r="D4" s="25" t="str">
        <x:v>不同发布时间和账号规模不可直接比较</x:v>
      </x:c>
    </x:row>
    <x:row r="5" ht="48" customHeight="1">
      <x:c r="A5" s="25" t="str">
        <x:v>角色与IP</x:v>
      </x:c>
      <x:c r="B5" s="25" t="str">
        <x:v>重点呈现角色性格、生物设计、关系或收藏动机</x:v>
      </x:c>
      <x:c r="C5" s="25" t="str">
        <x:v>适合日本角色卡及沙特伙伴叙事</x:v>
      </x:c>
      <x:c r="D5" s="25" t="str">
        <x:v>不能替代玩法证据</x:v>
      </x:c>
    </x:row>
    <x:row r="6" ht="48" customHeight="1">
      <x:c r="A6" s="25" t="str">
        <x:v>玩法证明</x:v>
      </x:c>
      <x:c r="B6" s="25" t="str">
        <x:v>直接展示战斗、移动、探索、合作或建造</x:v>
      </x:c>
      <x:c r="C6" s="25" t="str">
        <x:v>适合美国和商店页转化</x:v>
      </x:c>
      <x:c r="D6" s="25" t="str">
        <x:v>需保证画面来自真实版本</x:v>
      </x:c>
    </x:row>
    <x:row r="7" ht="48" customHeight="1">
      <x:c r="A7" s="25" t="str">
        <x:v>世界观叙事</x:v>
      </x:c>
      <x:c r="B7" s="25" t="str">
        <x:v>用剧情、动画、音乐或群像建立长期期待</x:v>
      </x:c>
      <x:c r="C7" s="25" t="str">
        <x:v>适合 IP 建设和社区讨论</x:v>
      </x:c>
      <x:c r="D7" s="25" t="str">
        <x:v>制作成本高，短期转化不一定明确</x:v>
      </x:c>
    </x:row>
    <x:row r="8" ht="48" customHeight="1">
      <x:c r="A8" s="25" t="str">
        <x:v>长期运营</x:v>
      </x:c>
      <x:c r="B8" s="25" t="str">
        <x:v>强调版本、新区域、新角色和回流节点</x:v>
      </x:c>
      <x:c r="C8" s="25" t="str">
        <x:v>用于持续内容节奏</x:v>
      </x:c>
      <x:c r="D8" s="25" t="str">
        <x:v>老用户导向可能提高新用户理解门槛</x:v>
      </x:c>
    </x:row>
    <x:row r="9" ht="48" customHeight="1">
      <x:c r="A9" s="25" t="str">
        <x:v>发布转化</x:v>
      </x:c>
      <x:c r="B9" s="25" t="str">
        <x:v>上线、预约、平台或购买节点信息</x:v>
      </x:c>
      <x:c r="C9" s="25" t="str">
        <x:v>用于明确行动号召</x:v>
      </x:c>
      <x:c r="D9" s="25" t="str">
        <x:v>容易同质化，需要核心卖点支撑</x:v>
      </x:c>
    </x:row>
    <x:row r="10" ht="48" customHeight="1">
      <x:c r="A10" s="25" t="str">
        <x:v>来源类型</x:v>
      </x:c>
      <x:c r="B10" s="25" t="str">
        <x:v>品牌官方、平台官方、区域官方或头部媒体</x:v>
      </x:c>
      <x:c r="C10" s="25" t="str">
        <x:v>区分证据权威与传播语境</x:v>
      </x:c>
      <x:c r="D10" s="25" t="str">
        <x:v>头部媒体标题可能带有比较框架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1">
      <x:c r="A1" s="18" t="str">
        <x:v>来源说明</x:v>
      </x:c>
    </x:row>
    <x:row r="3">
      <x:c r="A3" s="24" t="str">
        <x:v>项目</x:v>
      </x:c>
      <x:c r="B3" s="24" t="str">
        <x:v>说明</x:v>
      </x:c>
    </x:row>
    <x:row r="4" ht="42" customHeight="1">
      <x:c r="A4" s="25" t="str">
        <x:v>采集时间</x:v>
      </x:c>
      <x:c r="B4" s="25" t="str">
        <x:v>2026-09-05</x:v>
      </x:c>
    </x:row>
    <x:row r="5" ht="42" customHeight="1">
      <x:c r="A5" s="25" t="str">
        <x:v>采集范围</x:v>
      </x:c>
      <x:c r="B5" s="25" t="str">
        <x:v>YouTube 公开搜索结果中的官方品牌、官方平台、区域官方和头部游戏媒体视频</x:v>
      </x:c>
    </x:row>
    <x:row r="6" ht="42" customHeight="1">
      <x:c r="A6" s="25" t="str">
        <x:v>互动字段</x:v>
      </x:c>
      <x:c r="B6" s="25" t="str">
        <x:v>记录公开观看数。点赞和评论数未能在所有搜索结果中稳定取得，因此不混合不完整口径。</x:v>
      </x:c>
    </x:row>
    <x:row r="7" ht="42" customHeight="1">
      <x:c r="A7" s="25" t="str">
        <x:v>沙特口径</x:v>
      </x:c>
      <x:c r="B7" s="25" t="str">
        <x:v>优先收录阿语官方或区域官方素材；同品类阿语官方样本不足时，加入全球官方英语素材并明确标注。</x:v>
      </x:c>
    </x:row>
    <x:row r="8" ht="42" customHeight="1">
      <x:c r="A8" s="25" t="str">
        <x:v>动态数据</x:v>
      </x:c>
      <x:c r="B8" s="25" t="str">
        <x:v>观看数会持续变化；再次使用时应刷新采集日期与互动数据。</x:v>
      </x:c>
    </x:row>
    <x:row r="9" ht="42" customHeight="1">
      <x:c r="A9" s="25" t="str">
        <x:v>使用限制</x:v>
      </x:c>
      <x:c r="B9" s="25" t="str">
        <x:v>样本用于形成内容假设，不代表投放转化、目标用户偏好或市场份额。</x:v>
      </x:c>
    </x:row>
    <x:row r="10" ht="42" customHeight="1">
      <x:c r="A10" s="25" t="str">
        <x:v>来源</x:v>
      </x:c>
      <x:c r="B10" s="25" t="str">
        <x:v>每条记录均保留可点击的 YouTube URL。</x:v>
      </x:c>
    </x:row>
  </x:sheetData>
  <x:mergeCells>
    <x:mergeCell ref="A1:D1"/>
  </x:mergeCells>
  <x:pageMargins left="0.7" right="0.7" top="0.75" bottom="0.75" header="0.3" footer="0.3"/>
</x:worksheet>
</file>