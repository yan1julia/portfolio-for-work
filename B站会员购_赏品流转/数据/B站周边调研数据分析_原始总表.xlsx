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ROG\Desktop\"/>
    </mc:Choice>
  </mc:AlternateContent>
  <bookViews>
    <workbookView windowWidth="25600" windowHeight="12080" activeTab="5"/>
  </bookViews>
  <sheets>
    <sheet name="基本信息统计" sheetId="1" r:id="rId1"/>
    <sheet name="购买及闲置行为" sheetId="2" r:id="rId2"/>
    <sheet name="交易痛点" sheetId="3" r:id="rId3"/>
    <sheet name="功能意向" sheetId="4" r:id="rId4"/>
    <sheet name="用户分群" sheetId="5" r:id="rId5"/>
    <sheet name="数据清洗" sheetId="6" r:id="rId6"/>
  </sheets>
  <definedNames>
    <definedName name="_xlnm._FilterDatabase" localSheetId="5" hidden="1">数据清洗!$A$1:$CX$177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<sst xmlns="http://schemas.openxmlformats.org/spreadsheetml/2006/main" count="3167" uniqueCount="537">
  <si>
    <t>基本信息统计</t>
  </si>
  <si>
    <t>176份原始答卷；主分析122份。各题有效分母另列。</t>
  </si>
  <si>
    <t>样本流程</t>
  </si>
  <si>
    <t>人数</t>
  </si>
  <si>
    <t>原始回收</t>
  </si>
  <si>
    <t>选项</t>
  </si>
  <si>
    <t>筛选结束</t>
  </si>
  <si>
    <t>18–22岁</t>
  </si>
  <si>
    <t>筛选后记录</t>
  </si>
  <si>
    <t>23–29岁</t>
  </si>
  <si>
    <t>重复文本群暂不纳入</t>
  </si>
  <si>
    <t>30–39岁</t>
  </si>
  <si>
    <t>主分析样本</t>
  </si>
  <si>
    <t>40岁及以上</t>
  </si>
  <si>
    <t>不愿透露</t>
  </si>
  <si>
    <t>提交时间：2026-09-25 07:16:40至14:19:23（原导出时区未注明）。主样本用时128–2796秒，中位312.5秒。</t>
  </si>
  <si>
    <t>题目/范围</t>
  </si>
  <si>
    <t>人数 n</t>
  </si>
  <si>
    <t>有效分母 N</t>
  </si>
  <si>
    <t>比例 n/N</t>
  </si>
  <si>
    <t>口径</t>
  </si>
  <si>
    <t>年龄</t>
  </si>
  <si>
    <t>性别</t>
  </si>
  <si>
    <t>女</t>
  </si>
  <si>
    <t>男</t>
  </si>
  <si>
    <t>其他</t>
  </si>
  <si>
    <t>学历</t>
  </si>
  <si>
    <t>硕士研究生及以上</t>
  </si>
  <si>
    <t>本科</t>
  </si>
  <si>
    <t>大专</t>
  </si>
  <si>
    <t>高中／中专／职高／技校</t>
  </si>
  <si>
    <t>初中及以下</t>
  </si>
  <si>
    <t>B站频率</t>
  </si>
  <si>
    <t>从未使用过B站</t>
  </si>
  <si>
    <t>每周1–2天</t>
  </si>
  <si>
    <t>几乎每天</t>
  </si>
  <si>
    <t>少于每周1天</t>
  </si>
  <si>
    <t>每周3–6天</t>
  </si>
  <si>
    <t>过去3个月没有使用过</t>
  </si>
  <si>
    <t>购买及闲置行为</t>
  </si>
  <si>
    <t>购买、闲置单选按主样本统计；Q8/9仅购买者；Q11排除9份与明确未尝试冲突的记录。多选百分比可超过100%。</t>
  </si>
  <si>
    <t>购买次数</t>
  </si>
  <si>
    <t>1–2次</t>
  </si>
  <si>
    <t>有</t>
  </si>
  <si>
    <t>3–5次</t>
  </si>
  <si>
    <t>没有</t>
  </si>
  <si>
    <t>0次</t>
  </si>
  <si>
    <t>不确定</t>
  </si>
  <si>
    <t>6–11次</t>
  </si>
  <si>
    <t>12次及以上</t>
  </si>
  <si>
    <t>买过，但记不清次数</t>
  </si>
  <si>
    <t>闲置情况</t>
  </si>
  <si>
    <t>Q8 购买类型（多选）</t>
  </si>
  <si>
    <t>亚克力立牌／挂件等</t>
  </si>
  <si>
    <t>Q8购买类型；限近期购买且无互斥冲突</t>
  </si>
  <si>
    <t>其他，请注明:</t>
  </si>
  <si>
    <t>卡片／拍立得／纸类周边</t>
  </si>
  <si>
    <t>徽章／吧唧</t>
  </si>
  <si>
    <t>手办／模型</t>
  </si>
  <si>
    <t>毛绒玩具／棉花娃娃</t>
  </si>
  <si>
    <t>记不清</t>
  </si>
  <si>
    <t>Q9 购买渠道（多选）</t>
  </si>
  <si>
    <t>B站会员购市集</t>
  </si>
  <si>
    <t>Q9购买渠道；限近期购买且无互斥冲突</t>
  </si>
  <si>
    <t>B站会员购（不含市集）</t>
  </si>
  <si>
    <t>QQ群／QQ同好</t>
  </si>
  <si>
    <t>其他线上渠道，如淘宝、品牌官方店等</t>
  </si>
  <si>
    <t>微信群／微信同好</t>
  </si>
  <si>
    <t>线下门店／展会／同好活动</t>
  </si>
  <si>
    <t>尝试出售</t>
  </si>
  <si>
    <t>闲鱼</t>
  </si>
  <si>
    <t>尝试交换</t>
  </si>
  <si>
    <t>Q11 处理方式（多选）</t>
  </si>
  <si>
    <t>丢弃／回收</t>
  </si>
  <si>
    <t>Q11处理方式；限Q10有闲置且与明确均未尝试不冲突</t>
  </si>
  <si>
    <t>继续保留</t>
  </si>
  <si>
    <t>赠送</t>
  </si>
  <si>
    <t>尝试交换，包括发布换物信息或联系交换对象</t>
  </si>
  <si>
    <t>尝试出售，包括发布信息、询价或联系买家</t>
  </si>
  <si>
    <t>继续保留，尚未采取处理行动</t>
  </si>
  <si>
    <t>交易痛点</t>
  </si>
  <si>
    <t>出售、交换按Q12可确认的记录分列；另一行为未知。Q14严格可配对子样本仅27份，不能据此推算总体痛点发生率。</t>
  </si>
  <si>
    <t>交易分组</t>
  </si>
  <si>
    <t>交换尝试记录</t>
  </si>
  <si>
    <t>出售尝试记录</t>
  </si>
  <si>
    <t>无法判断</t>
  </si>
  <si>
    <t>明确均未尝试</t>
  </si>
  <si>
    <t>Q13 尝试渠道（多选）</t>
  </si>
  <si>
    <t>Q13合并渠道；限Q12可确认尝试，不分出售交换</t>
  </si>
  <si>
    <t>B站其他位置，如动态、评论、私信等</t>
  </si>
  <si>
    <t>出售尝试记录痛点</t>
  </si>
  <si>
    <t>付款或发货顺序难以协商</t>
  </si>
  <si>
    <t>仅Q12与Q14行可配对、无互斥冲突；小样本探索</t>
  </si>
  <si>
    <t>对方临时取消或不再回复</t>
  </si>
  <si>
    <t>对方对我提供的商品信息有疑虑</t>
  </si>
  <si>
    <t>没有遇到明显问题</t>
  </si>
  <si>
    <t>遇到物流损坏或丢失</t>
  </si>
  <si>
    <t>遇到纠纷后难以解决</t>
  </si>
  <si>
    <t>难以就价格／补差价达成一致</t>
  </si>
  <si>
    <t>难以找到想要我这件周边的人</t>
  </si>
  <si>
    <t>需要反复沟通品相、包装等细节</t>
  </si>
  <si>
    <t>交换尝试记录痛点</t>
  </si>
  <si>
    <t>难以判断对方提供的商品信息是否真实【仅交换行】</t>
  </si>
  <si>
    <t>难以找到愿意拿出我想要款式的交换对象【仅交换行】</t>
  </si>
  <si>
    <t>功能意向</t>
  </si>
  <si>
    <t>Q6缺少服务与状态配对，不能估计市集认知/使用率。Q16只统计明确可能性填写；名称被勾选不等于愿意使用。</t>
  </si>
  <si>
    <t>功能</t>
  </si>
  <si>
    <t>高意向 n</t>
  </si>
  <si>
    <t>有效 N</t>
  </si>
  <si>
    <t>高意向 n/N</t>
  </si>
  <si>
    <t>缺失或歧义</t>
  </si>
  <si>
    <t>不适用人数</t>
  </si>
  <si>
    <t>排除不适用后</t>
  </si>
  <si>
    <t>发布出售</t>
  </si>
  <si>
    <t>寻找交换</t>
  </si>
  <si>
    <t>IP兴趣标签</t>
  </si>
  <si>
    <t>订单来源信息</t>
  </si>
  <si>
    <t>高意向=比较可能或非常可能。四项分母52–63不等；非随机缺失明显，不可按百分比直接排功能优先级。</t>
  </si>
  <si>
    <t>Q17 顾虑（多选）</t>
  </si>
  <si>
    <t>不确定付款、发货和纠纷处理是否有保障</t>
  </si>
  <si>
    <t>Q17顾虑；排除互斥项混选</t>
  </si>
  <si>
    <t>不确定商品信息是否可信</t>
  </si>
  <si>
    <t>不确定能否找到合适的交易对象</t>
  </si>
  <si>
    <t>信息不足，暂时无法判断</t>
  </si>
  <si>
    <t>担心可交易的商品范围有限</t>
  </si>
  <si>
    <t>担心手续费或其他使用成本</t>
  </si>
  <si>
    <t>担心操作或沟通过于麻烦</t>
  </si>
  <si>
    <t>担心暴露兴趣、购买记录等隐私</t>
  </si>
  <si>
    <t>暂无顾虑</t>
  </si>
  <si>
    <t>Q18 主要原因（单一回答）</t>
  </si>
  <si>
    <t>Q18仅保留单一选择，不能把多选解释为最主要原因</t>
  </si>
  <si>
    <t>希望尝试更多渠道，增加找到对象的机会</t>
  </si>
  <si>
    <t>希望更容易遇到相同IP的同好</t>
  </si>
  <si>
    <t>希望有更多可参考的商品来源信息</t>
  </si>
  <si>
    <t>我是否使用主要取决于交易保障规则</t>
  </si>
  <si>
    <t>我是否使用主要取决于费用</t>
  </si>
  <si>
    <t>我是否使用主要取决于隐私保护方式</t>
  </si>
  <si>
    <t>现有渠道已经能满足我的需要</t>
  </si>
  <si>
    <t>目前没有出售或交换需求</t>
  </si>
  <si>
    <t>需要更多信息才能判断</t>
  </si>
  <si>
    <t>Q16 发布出售</t>
  </si>
  <si>
    <t>非常不可能</t>
  </si>
  <si>
    <t>发布周边出售信息；仅有效填写者，含不适用</t>
  </si>
  <si>
    <t>比较不可能</t>
  </si>
  <si>
    <t>不确定或需更多规则</t>
  </si>
  <si>
    <t>比较可能</t>
  </si>
  <si>
    <t>非常可能</t>
  </si>
  <si>
    <t>不适用</t>
  </si>
  <si>
    <t>Q16 寻找交换</t>
  </si>
  <si>
    <t>寻找周边交换对象；仅有效填写者，含不适用</t>
  </si>
  <si>
    <t>Q16 IP兴趣标签</t>
  </si>
  <si>
    <t>为自己的周边展示IP兴趣标签，帮助他人发现；仅有效填写者，含不适用</t>
  </si>
  <si>
    <t>Q16 订单来源信息</t>
  </si>
  <si>
    <t>为自己的周边展示可选择的会员购订单来源信息；仅有效填写者，含不适用</t>
  </si>
  <si>
    <t>用户分群</t>
  </si>
  <si>
    <t>出售与交换为导出可确认的行为记录，不能解释为仅出售/仅交换用户。分母少于5不显示比例，少于30只作探索。</t>
  </si>
  <si>
    <t>分组维度</t>
  </si>
  <si>
    <t>组别</t>
  </si>
  <si>
    <t>组人数</t>
  </si>
  <si>
    <t>有闲置 n</t>
  </si>
  <si>
    <t>闲置 n/N</t>
  </si>
  <si>
    <t>出售高意向 n</t>
  </si>
  <si>
    <t>出售有效 N</t>
  </si>
  <si>
    <t>出售意向 n/N</t>
  </si>
  <si>
    <t>交换高意向 n</t>
  </si>
  <si>
    <t>交换有效 N</t>
  </si>
  <si>
    <t>交换意向 n/N</t>
  </si>
  <si>
    <t>近12月购买</t>
  </si>
  <si>
    <t>买过</t>
  </si>
  <si>
    <t>未购买</t>
  </si>
  <si>
    <t>闲置经历</t>
  </si>
  <si>
    <t>交易记录</t>
  </si>
  <si>
    <t>敏感性指标</t>
  </si>
  <si>
    <t>主分析 n</t>
  </si>
  <si>
    <t>主分析 N</t>
  </si>
  <si>
    <t>主分析比例</t>
  </si>
  <si>
    <t>含异常群 n</t>
  </si>
  <si>
    <t>筛选后 N</t>
  </si>
  <si>
    <t>对照比例</t>
  </si>
  <si>
    <t>差值 百分点</t>
  </si>
  <si>
    <t>近12月买过周边</t>
  </si>
  <si>
    <t>有闲置</t>
  </si>
  <si>
    <t>对照含53份重复文本群，只检查清洗选择对结论的影响，不作为推荐结论。购买占比差异11.3个百分点；闲置占比差异4.7个百分点。</t>
  </si>
  <si>
    <t>id</t>
  </si>
  <si>
    <t>source_row</t>
  </si>
  <si>
    <t>status</t>
  </si>
  <si>
    <t>eligible</t>
  </si>
  <si>
    <t>main</t>
  </si>
  <si>
    <t>duration</t>
  </si>
  <si>
    <t>age</t>
  </si>
  <si>
    <t>gender</t>
  </si>
  <si>
    <t>education</t>
  </si>
  <si>
    <t>frequency</t>
  </si>
  <si>
    <t>purchase</t>
  </si>
  <si>
    <t>purchased</t>
  </si>
  <si>
    <t>idle</t>
  </si>
  <si>
    <t>experience</t>
  </si>
  <si>
    <t>q11_conflict</t>
  </si>
  <si>
    <t>flags</t>
  </si>
  <si>
    <t>repeat_text</t>
  </si>
  <si>
    <t>same_ip</t>
  </si>
  <si>
    <t>intent_missing</t>
  </si>
  <si>
    <t>q18_multi</t>
  </si>
  <si>
    <t>q14_row_error</t>
  </si>
  <si>
    <t>q12_type</t>
  </si>
  <si>
    <t>q12_freq</t>
  </si>
  <si>
    <t>trade_group</t>
  </si>
  <si>
    <t>type_base</t>
  </si>
  <si>
    <t>type_1</t>
  </si>
  <si>
    <t>type_2</t>
  </si>
  <si>
    <t>type_3</t>
  </si>
  <si>
    <t>type_4</t>
  </si>
  <si>
    <t>type_5</t>
  </si>
  <si>
    <t>type_6</t>
  </si>
  <si>
    <t>type_7</t>
  </si>
  <si>
    <t>buy_base</t>
  </si>
  <si>
    <t>buy_1</t>
  </si>
  <si>
    <t>buy_2</t>
  </si>
  <si>
    <t>buy_3</t>
  </si>
  <si>
    <t>buy_4</t>
  </si>
  <si>
    <t>buy_5</t>
  </si>
  <si>
    <t>buy_6</t>
  </si>
  <si>
    <t>buy_7</t>
  </si>
  <si>
    <t>buy_8</t>
  </si>
  <si>
    <t>buy_9</t>
  </si>
  <si>
    <t>disposal_base</t>
  </si>
  <si>
    <t>disposal_1</t>
  </si>
  <si>
    <t>disposal_2</t>
  </si>
  <si>
    <t>disposal_3</t>
  </si>
  <si>
    <t>disposal_4</t>
  </si>
  <si>
    <t>disposal_5</t>
  </si>
  <si>
    <t>disposal_6</t>
  </si>
  <si>
    <t>channel_base</t>
  </si>
  <si>
    <t>channel_1</t>
  </si>
  <si>
    <t>channel_2</t>
  </si>
  <si>
    <t>channel_3</t>
  </si>
  <si>
    <t>channel_4</t>
  </si>
  <si>
    <t>channel_5</t>
  </si>
  <si>
    <t>channel_6</t>
  </si>
  <si>
    <t>channel_7</t>
  </si>
  <si>
    <t>channel_8</t>
  </si>
  <si>
    <t>barrier_base</t>
  </si>
  <si>
    <t>barrier_1</t>
  </si>
  <si>
    <t>barrier_2</t>
  </si>
  <si>
    <t>barrier_3</t>
  </si>
  <si>
    <t>barrier_4</t>
  </si>
  <si>
    <t>barrier_5</t>
  </si>
  <si>
    <t>barrier_6</t>
  </si>
  <si>
    <t>barrier_7</t>
  </si>
  <si>
    <t>barrier_8</t>
  </si>
  <si>
    <t>barrier_9</t>
  </si>
  <si>
    <t>barrier_10</t>
  </si>
  <si>
    <t>barrier_11</t>
  </si>
  <si>
    <t>barrier_12</t>
  </si>
  <si>
    <t>barrier_13</t>
  </si>
  <si>
    <t>concern_base</t>
  </si>
  <si>
    <t>concern_1</t>
  </si>
  <si>
    <t>concern_2</t>
  </si>
  <si>
    <t>concern_3</t>
  </si>
  <si>
    <t>concern_4</t>
  </si>
  <si>
    <t>concern_5</t>
  </si>
  <si>
    <t>concern_6</t>
  </si>
  <si>
    <t>concern_7</t>
  </si>
  <si>
    <t>concern_8</t>
  </si>
  <si>
    <t>concern_9</t>
  </si>
  <si>
    <t>concern_10</t>
  </si>
  <si>
    <t>reason_base</t>
  </si>
  <si>
    <t>reason_1</t>
  </si>
  <si>
    <t>reason_2</t>
  </si>
  <si>
    <t>reason_3</t>
  </si>
  <si>
    <t>reason_4</t>
  </si>
  <si>
    <t>reason_5</t>
  </si>
  <si>
    <t>reason_6</t>
  </si>
  <si>
    <t>reason_7</t>
  </si>
  <si>
    <t>reason_8</t>
  </si>
  <si>
    <t>reason_9</t>
  </si>
  <si>
    <t>reason_10</t>
  </si>
  <si>
    <t>intent1</t>
  </si>
  <si>
    <t>intent_raw1</t>
  </si>
  <si>
    <t>intent2</t>
  </si>
  <si>
    <t>intent_raw2</t>
  </si>
  <si>
    <t>intent3</t>
  </si>
  <si>
    <t>intent_raw3</t>
  </si>
  <si>
    <t>intent4</t>
  </si>
  <si>
    <t>intent_raw4</t>
  </si>
  <si>
    <t>1</t>
  </si>
  <si>
    <t>主分析</t>
  </si>
  <si>
    <t>可确认尝试</t>
  </si>
  <si>
    <t>Q14行无法可靠匹配；Q18最主要原因多选</t>
  </si>
  <si>
    <t>与他人交换周边</t>
  </si>
  <si>
    <t>完成1–2次</t>
  </si>
  <si>
    <t>2</t>
  </si>
  <si>
    <t>Q18最主要原因多选；Q16第3项用词歧义；Q16第4项用词歧义</t>
  </si>
  <si>
    <t>出售个人周边</t>
  </si>
  <si>
    <t>完成3–5次</t>
  </si>
  <si>
    <t>需要了解</t>
  </si>
  <si>
    <t>可能</t>
  </si>
  <si>
    <t>3</t>
  </si>
  <si>
    <t>Q14行无法可靠匹配</t>
  </si>
  <si>
    <t>没有尝试过</t>
  </si>
  <si>
    <t>4</t>
  </si>
  <si>
    <t>Q18最主要原因多选</t>
  </si>
  <si>
    <t>完成6次及以上</t>
  </si>
  <si>
    <t>5</t>
  </si>
  <si>
    <t>Q14行无法可靠匹配；Q16第4项用词歧义</t>
  </si>
  <si>
    <t>6</t>
  </si>
  <si>
    <t>不确定/需要了解更多规则</t>
  </si>
  <si>
    <t>不适用：没有对应需求或条件</t>
  </si>
  <si>
    <t>7</t>
  </si>
  <si>
    <t>8</t>
  </si>
  <si>
    <t>9</t>
  </si>
  <si>
    <t>Q14行无法可靠匹配；Q18最主要原因多选；Q16第4项用词歧义</t>
  </si>
  <si>
    <t>非常可爱</t>
  </si>
  <si>
    <t>10</t>
  </si>
  <si>
    <t>未触发已设检查（不代表真实性已验证）</t>
  </si>
  <si>
    <t>11</t>
  </si>
  <si>
    <t>质量暂不纳入</t>
  </si>
  <si>
    <t>Q15五填空整段跨记录重复，主分析暂不纳入；Q16无可能性填写；Q14行无法可靠匹配；Q18最主要原因多选；concern互斥混选</t>
  </si>
  <si>
    <t>12</t>
  </si>
  <si>
    <t>尝试过，但未完成</t>
  </si>
  <si>
    <t>13</t>
  </si>
  <si>
    <t>Q15五填空整段跨记录重复，主分析暂不纳入；Q16无可能性填写；Q14行无法可靠匹配；Q18最主要原因多选</t>
  </si>
  <si>
    <t>14</t>
  </si>
  <si>
    <t>Q16无可能性填写</t>
  </si>
  <si>
    <t>均没有尝试过</t>
  </si>
  <si>
    <t>(跳过)</t>
  </si>
  <si>
    <t>15</t>
  </si>
  <si>
    <t>16</t>
  </si>
  <si>
    <t>17</t>
  </si>
  <si>
    <t>Q11尝试与Q12均未尝试冲突；Q16无可能性填写</t>
  </si>
  <si>
    <t>18</t>
  </si>
  <si>
    <t>Q11尝试与Q12均未尝试冲突；Q16无可能性填写；Q18最主要原因多选</t>
  </si>
  <si>
    <t>19</t>
  </si>
  <si>
    <t>20</t>
  </si>
  <si>
    <t>Q15五填空整段跨记录重复，主分析暂不纳入；年龄未披露，资格未完全核实；Q16无可能性填写；Q14行无法可靠匹配</t>
  </si>
  <si>
    <t>21</t>
  </si>
  <si>
    <t>Q15五填空整段跨记录重复，主分析暂不纳入；Q16无可能性填写；Q14行无法可靠匹配</t>
  </si>
  <si>
    <t>22</t>
  </si>
  <si>
    <t>23</t>
  </si>
  <si>
    <t>24</t>
  </si>
  <si>
    <t>Q15五填空整段跨记录重复，主分析暂不纳入；Q16无可能性填写；Q14行无法可靠匹配；type互斥混选；channel互斥混选；concern互斥混选</t>
  </si>
  <si>
    <t>25</t>
  </si>
  <si>
    <t>26</t>
  </si>
  <si>
    <t>27</t>
  </si>
  <si>
    <t>Q16无可能性填写；Q18最主要原因多选</t>
  </si>
  <si>
    <t>28</t>
  </si>
  <si>
    <t>Q15五填空整段跨记录重复，主分析暂不纳入；Q16无可能性填写</t>
  </si>
  <si>
    <t>29</t>
  </si>
  <si>
    <t>30</t>
  </si>
  <si>
    <t>Q15五填空整段跨记录重复，主分析暂不纳入；Q16无可能性填写；Q18最主要原因多选；channel互斥混选</t>
  </si>
  <si>
    <t>31</t>
  </si>
  <si>
    <t>Q15五填空整段跨记录重复，主分析暂不纳入；Q16无可能性填写；Q18最主要原因多选</t>
  </si>
  <si>
    <t>32</t>
  </si>
  <si>
    <t>33</t>
  </si>
  <si>
    <t>Q15五填空整段跨记录重复，主分析暂不纳入；Q16无可能性填写；Q14行无法可靠匹配；barrier互斥混选</t>
  </si>
  <si>
    <t>34</t>
  </si>
  <si>
    <t>35</t>
  </si>
  <si>
    <t>年龄未披露，资格未完全核实；Q16无可能性填写</t>
  </si>
  <si>
    <t>36</t>
  </si>
  <si>
    <t>37</t>
  </si>
  <si>
    <t>38</t>
  </si>
  <si>
    <t>Q16无可能性填写；Q18最主要原因多选；type互斥混选</t>
  </si>
  <si>
    <t>39</t>
  </si>
  <si>
    <t>Q16无可能性填写；Q18最主要原因多选；buy互斥混选</t>
  </si>
  <si>
    <t>40</t>
  </si>
  <si>
    <t>41</t>
  </si>
  <si>
    <t>Q16无可能性填写；concern互斥混选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</si>
  <si>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</si>
  <si>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</si>
  <si>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</si>
  <si>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</si>
  <si>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</si>
  <si>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</si>
  <si>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</si>
  <si>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</si>
  <si>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</si>
  <si>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</si>
  <si>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</si>
  <si>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</si>
  <si>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</si>
  <si>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Q15五填空整段跨记录重复，主分析暂不纳入；Q16无可能性填写；Q14行无法可靠匹配；concern互斥混选</t>
  </si>
  <si>
    <t>55</t>
  </si>
  <si>
    <t>56</t>
  </si>
  <si>
    <t>57</t>
  </si>
  <si>
    <t>同IP重复；仅标记；Q18最主要原因多选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</si>
  <si>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</si>
  <si>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</si>
  <si>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</si>
  <si>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</si>
  <si>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</si>
  <si>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</si>
  <si>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</si>
  <si>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</si>
  <si>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</si>
  <si>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</si>
  <si>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完成过，但记不清次数</t>
  </si>
  <si>
    <t>68</t>
  </si>
  <si>
    <t>69</t>
  </si>
  <si>
    <t>70</t>
  </si>
  <si>
    <t>71</t>
  </si>
  <si>
    <t>72</t>
  </si>
  <si>
    <t>Q11尝试与Q12均未尝试冲突；Q16无可能性填写；Q18最主要原因多选；concern互斥混选</t>
  </si>
  <si>
    <t>73</t>
  </si>
  <si>
    <t>74</t>
  </si>
  <si>
    <t>75</t>
  </si>
  <si>
    <t>76</t>
  </si>
  <si>
    <t>77</t>
  </si>
  <si>
    <t>78</t>
  </si>
  <si>
    <t>79</t>
  </si>
  <si>
    <t>Q14行无法可靠匹配；Q16第3项用词歧义</t>
  </si>
  <si>
    <t>不确定啊</t>
  </si>
  <si>
    <t>80</t>
  </si>
  <si>
    <t>Q15五填空整段跨记录重复，主分析暂不纳入；Q16无可能性填写；Q14行无法可靠匹配；Q18最主要原因多选；barrier互斥混选</t>
  </si>
  <si>
    <t>81</t>
  </si>
  <si>
    <t>82</t>
  </si>
  <si>
    <t>83</t>
  </si>
  <si>
    <t>Q14行无法可靠匹配；Q18最主要原因多选；Q16第1项用词歧义；Q16第3项用词歧义</t>
  </si>
  <si>
    <t>确定</t>
  </si>
  <si>
    <t>比较确定</t>
  </si>
  <si>
    <t>84</t>
  </si>
  <si>
    <t>85</t>
  </si>
  <si>
    <t>86</t>
  </si>
  <si>
    <t>87</t>
  </si>
  <si>
    <t>88</t>
  </si>
  <si>
    <t>Q15五填空整段跨记录重复，主分析暂不纳入；年龄未披露，资格未完全核实；Q16无可能性填写</t>
  </si>
  <si>
    <t>89</t>
  </si>
  <si>
    <t>90</t>
  </si>
  <si>
    <t>91</t>
  </si>
  <si>
    <t>92</t>
  </si>
  <si>
    <t>93</t>
  </si>
  <si>
    <t>94</t>
  </si>
  <si>
    <t>Q15五填空整段跨记录重复，主分析暂不纳入；年龄未披露，资格未完全核实；Q16无可能性填写；Q14行无法可靠匹配；Q18最主要原因多选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</si>
  <si>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</si>
  <si>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</si>
  <si>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</si>
  <si>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</si>
  <si>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</si>
  <si>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</si>
  <si>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</si>
  <si>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</si>
  <si>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</si>
  <si>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</si>
  <si>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</si>
  <si>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</si>
  <si>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</si>
  <si>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</si>
  <si>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</si>
  <si>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</si>
  <si>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</si>
  <si>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</si>
  <si>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</si>
  <si>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Q15五填空整段跨记录重复，主分析暂不纳入；Q16无可能性填写；Q14行无法可靠匹配；buy互斥混选</t>
  </si>
  <si>
    <t>114</t>
  </si>
  <si>
    <t>Q15五填空整段跨记录重复，主分析暂不纳入；Q16无可能性填写；Q14行无法可靠匹配；Q18最主要原因多选；buy互斥混选</t>
  </si>
  <si>
    <t>115</t>
  </si>
  <si>
    <t>116</t>
  </si>
  <si>
    <t>117</t>
  </si>
  <si>
    <t>年龄未披露，资格未完全核实；Q11尝试与Q12均未尝试冲突；Q16无可能性填写；Q18最主要原因多选</t>
  </si>
  <si>
    <t>118</t>
  </si>
  <si>
    <t>119</t>
  </si>
  <si>
    <t>120</t>
  </si>
  <si>
    <t>121</t>
  </si>
  <si>
    <t>122</t>
  </si>
  <si>
    <t>同IP重复；仅标记；Q14行无法可靠匹配；Q18最主要原因多选</t>
  </si>
  <si>
    <t>123</t>
  </si>
  <si>
    <t>124</t>
  </si>
  <si>
    <t>Q18最主要原因多选；Q16第2项用词歧义</t>
  </si>
  <si>
    <t>很可能</t>
  </si>
  <si>
    <t>125</t>
  </si>
  <si>
    <t>126</t>
  </si>
  <si>
    <t>127</t>
  </si>
  <si>
    <t>了解更多规则</t>
  </si>
  <si>
    <t>128</t>
  </si>
  <si>
    <t>129</t>
  </si>
  <si>
    <t>130</t>
  </si>
  <si>
    <t>131</t>
  </si>
  <si>
    <t>132</t>
  </si>
  <si>
    <t>133</t>
  </si>
  <si>
    <t>134</t>
  </si>
  <si>
    <t>135</t>
  </si>
  <si>
    <t>Q14行无法可靠匹配；Q18最主要原因多选；Q16第1项用词歧义</t>
  </si>
  <si>
    <t>136</t>
  </si>
  <si>
    <t>137</t>
  </si>
  <si>
    <t>138</t>
  </si>
  <si>
    <t>139</t>
  </si>
  <si>
    <t>140</t>
  </si>
  <si>
    <t>141</t>
  </si>
  <si>
    <t>不可能</t>
  </si>
  <si>
    <t>142</t>
  </si>
  <si>
    <t>143</t>
  </si>
  <si>
    <t>144</t>
  </si>
  <si>
    <t>未满18岁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</si>
  <si>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</si>
  <si>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</si>
  <si>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</si>
  <si>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</si>
  <si>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</si>
  <si>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</si>
  <si>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</si>
  <si>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</si>
  <si>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</si>
  <si>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</si>
  <si>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</si>
  <si>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</si>
  <si>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</si>
  <si>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</si>
  <si>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Q14行无法可靠匹配；Q16第1项用词歧义</t>
  </si>
  <si>
    <t>发布信息</t>
  </si>
  <si>
    <t>159</t>
  </si>
  <si>
    <t>160</t>
  </si>
  <si>
    <t>161</t>
  </si>
  <si>
    <t>比较可能。</t>
  </si>
  <si>
    <t>非常可能。</t>
  </si>
  <si>
    <t>162</t>
  </si>
  <si>
    <t>163</t>
  </si>
  <si>
    <t>Q14行无法可靠匹配；Q18最主要原因多选；Q16第1项用词歧义；Q16第2项用词歧义；Q16第4项用词歧义</t>
  </si>
  <si>
    <t>164</t>
  </si>
  <si>
    <t>同IP重复；仅标记</t>
  </si>
  <si>
    <t>165</t>
  </si>
  <si>
    <t>166</t>
  </si>
  <si>
    <t>Q16无可能性填写；Q14行无法可靠匹配</t>
  </si>
  <si>
    <t>167</t>
  </si>
  <si>
    <t>Q14行无法可靠匹配；Q18最主要原因多选；Q16第1项用词歧义；Q16第3项用词歧义；Q16第4项用词歧义</t>
  </si>
  <si>
    <t>168</t>
  </si>
  <si>
    <t>169</t>
  </si>
  <si>
    <t>170</t>
  </si>
  <si>
    <t>Q18最主要原因多选；Q16第1项用词歧义；Q16第3项用词歧义</t>
  </si>
  <si>
    <t>有可能</t>
  </si>
  <si>
    <t>不太可能</t>
  </si>
  <si>
    <t>171</t>
  </si>
  <si>
    <t>同IP重复；仅标记；Q14行无法可靠匹配</t>
  </si>
  <si>
    <t>172</t>
  </si>
  <si>
    <t>173</t>
  </si>
  <si>
    <t>174</t>
  </si>
  <si>
    <t>175</t>
  </si>
  <si>
    <t>176</t>
  </si>
  <si>
    <t>没有对应需求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</si>
</sst>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4">
    <font>
      <sz val="11"/>
      <name val="Carlito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5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7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/>
    <xf numFmtId="0" fontId="1" fillId="2" borderId="1" xfId="49" applyFont="1" applyFill="1" applyBorder="1" applyAlignment="1">
      <alignment vertical="center" wrapText="1"/>
    </xf>
    <xf numFmtId="0" fontId="2" fillId="0" borderId="0" xfId="49" applyFont="1" applyAlignment="1">
      <alignment vertical="center" wrapText="1"/>
    </xf>
    <xf numFmtId="0" fontId="2" fillId="0" borderId="0" xfId="49" applyFont="1" applyAlignment="1">
      <alignment vertical="center"/>
    </xf>
    <xf numFmtId="0" fontId="3" fillId="0" borderId="0" xfId="49" applyFont="1" applyAlignment="1">
      <alignment vertical="center" wrapText="1"/>
    </xf>
    <xf numFmtId="176" fontId="2" fillId="0" borderId="0" xfId="49" applyNumberFormat="1" applyFont="1" applyAlignment="1">
      <alignment vertical="center" wrapText="1"/>
    </xf>
    <xf numFmtId="176" fontId="2" fillId="0" borderId="0" xfId="49" applyNumberFormat="1" applyFont="1" applyAlignment="1">
      <alignment vertical="center"/>
    </xf>
    <xf numFmtId="177" fontId="2" fillId="0" borderId="0" xfId="49" applyNumberFormat="1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年龄分布 n=122</a:t>
            </a:r>
            <a:endParaRPr sz="1050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"人数"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696969"/>
            </a:solidFill>
          </c:spPr>
          <c:invertIfNegative val="1"/>
          <c:dLbls>
            <c:delete val="1"/>
          </c:dLbls>
          <c:cat>
            <c:strRef>
              <c:f>基本信息统计!$I$6:$I$10</c:f>
              <c:strCache>
                <c:ptCount val="5"/>
                <c:pt idx="0">
                  <c:v>18–22岁</c:v>
                </c:pt>
                <c:pt idx="1">
                  <c:v>23–29岁</c:v>
                </c:pt>
                <c:pt idx="2">
                  <c:v>30–39岁</c:v>
                </c:pt>
                <c:pt idx="3">
                  <c:v>40岁及以上</c:v>
                </c:pt>
                <c:pt idx="4">
                  <c:v>不愿透露</c:v>
                </c:pt>
              </c:strCache>
            </c:strRef>
          </c:cat>
          <c:val>
            <c:numRef>
              <c:f>基本信息统计!$J$6:$J$10</c:f>
              <c:numCache>
                <c:formatCode>General</c:formatCode>
                <c:ptCount val="5"/>
                <c:pt idx="0">
                  <c:v>35</c:v>
                </c:pt>
                <c:pt idx="1">
                  <c:v>55</c:v>
                </c:pt>
                <c:pt idx="2">
                  <c:v>26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a90fac25-7559-4a7f-89e3-80264e937bf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闲置经历 n=122</a:t>
            </a:r>
            <a:endParaRPr sz="1050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"人数"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696969"/>
            </a:solidFill>
          </c:spPr>
          <c:invertIfNegative val="1"/>
          <c:dLbls>
            <c:delete val="1"/>
          </c:dLbls>
          <c:cat>
            <c:strRef>
              <c:f>购买及闲置行为!$I$6:$I$8</c:f>
              <c:strCache>
                <c:ptCount val="3"/>
                <c:pt idx="0">
                  <c:v>有</c:v>
                </c:pt>
                <c:pt idx="1">
                  <c:v>没有</c:v>
                </c:pt>
                <c:pt idx="2">
                  <c:v>不确定</c:v>
                </c:pt>
              </c:strCache>
            </c:strRef>
          </c:cat>
          <c:val>
            <c:numRef>
              <c:f>购买及闲置行为!$J$6:$J$8</c:f>
              <c:numCache>
                <c:formatCode>General</c:formatCode>
                <c:ptCount val="3"/>
                <c:pt idx="0">
                  <c:v>58</c:v>
                </c:pt>
                <c:pt idx="1">
                  <c:v>43</c:v>
                </c:pt>
                <c:pt idx="2">
                  <c:v>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c3069ace-3ff1-4017-a271-524ec2c63d9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闲置处理方式 多选 n=49</a:t>
            </a:r>
            <a:endParaRPr sz="1050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"人数"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696969"/>
            </a:solidFill>
          </c:spPr>
          <c:invertIfNegative val="1"/>
          <c:dLbls>
            <c:delete val="1"/>
          </c:dLbls>
          <c:cat>
            <c:strRef>
              <c:f>购买及闲置行为!$I$29:$I$33</c:f>
              <c:strCache>
                <c:ptCount val="5"/>
                <c:pt idx="0">
                  <c:v>尝试出售</c:v>
                </c:pt>
                <c:pt idx="1">
                  <c:v>尝试交换</c:v>
                </c:pt>
                <c:pt idx="2">
                  <c:v>继续保留</c:v>
                </c:pt>
                <c:pt idx="3">
                  <c:v>赠送</c:v>
                </c:pt>
                <c:pt idx="4">
                  <c:v>丢弃／回收</c:v>
                </c:pt>
              </c:strCache>
            </c:strRef>
          </c:cat>
          <c:val>
            <c:numRef>
              <c:f>购买及闲置行为!$J$29:$J$33</c:f>
              <c:numCache>
                <c:formatCode>General</c:formatCode>
                <c:ptCount val="5"/>
                <c:pt idx="0">
                  <c:v>31</c:v>
                </c:pt>
                <c:pt idx="1">
                  <c:v>26</c:v>
                </c:pt>
                <c:pt idx="2">
                  <c:v>18</c:v>
                </c:pt>
                <c:pt idx="3">
                  <c:v>11</c:v>
                </c:pt>
                <c:pt idx="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4827417d-5ba0-4fc6-adde-518781dca1d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可确认交易记录 n=122</a:t>
            </a:r>
            <a:endParaRPr sz="1050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"人数"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696969"/>
            </a:solidFill>
          </c:spPr>
          <c:invertIfNegative val="1"/>
          <c:dLbls>
            <c:delete val="1"/>
          </c:dLbls>
          <c:cat>
            <c:strRef>
              <c:f>交易痛点!$I$6:$I$9</c:f>
              <c:strCache>
                <c:ptCount val="4"/>
                <c:pt idx="0">
                  <c:v>出售尝试记录</c:v>
                </c:pt>
                <c:pt idx="1">
                  <c:v>交换尝试记录</c:v>
                </c:pt>
                <c:pt idx="2">
                  <c:v>明确均未尝试</c:v>
                </c:pt>
                <c:pt idx="3">
                  <c:v>无法判断</c:v>
                </c:pt>
              </c:strCache>
            </c:strRef>
          </c:cat>
          <c:val>
            <c:numRef>
              <c:f>交易痛点!$J$6:$J$9</c:f>
              <c:numCache>
                <c:formatCode>General</c:formatCode>
                <c:ptCount val="4"/>
                <c:pt idx="0">
                  <c:v>28</c:v>
                </c:pt>
                <c:pt idx="1">
                  <c:v>40</c:v>
                </c:pt>
                <c:pt idx="2">
                  <c:v>41</c:v>
                </c:pt>
                <c:pt idx="3">
                  <c:v>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93e485cd-5769-446c-8733-114aa559aaed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050"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有效填写者高意向比例 各项N见表</a:t>
            </a:r>
            <a:endParaRPr sz="1050"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"高意向 n/N"</c:f>
              <c:strCache>
                <c:ptCount val="1"/>
                <c:pt idx="0">
                  <c:v>高意向 n/N</c:v>
                </c:pt>
              </c:strCache>
            </c:strRef>
          </c:tx>
          <c:spPr>
            <a:solidFill>
              <a:srgbClr val="696969"/>
            </a:solidFill>
          </c:spPr>
          <c:invertIfNegative val="1"/>
          <c:dLbls>
            <c:delete val="1"/>
          </c:dLbls>
          <c:cat>
            <c:strRef>
              <c:f>功能意向!$A$6:$A$9</c:f>
              <c:strCache>
                <c:ptCount val="4"/>
                <c:pt idx="0">
                  <c:v>发布出售</c:v>
                </c:pt>
                <c:pt idx="1">
                  <c:v>寻找交换</c:v>
                </c:pt>
                <c:pt idx="2">
                  <c:v>IP兴趣标签</c:v>
                </c:pt>
                <c:pt idx="3">
                  <c:v>订单来源信息</c:v>
                </c:pt>
              </c:strCache>
            </c:strRef>
          </c:cat>
          <c:val>
            <c:numRef>
              <c:f>功能意向!$D$6:$D$9</c:f>
              <c:numCache>
                <c:formatCode>0.0%</c:formatCode>
                <c:ptCount val="4"/>
                <c:pt idx="0">
                  <c:v>0.796610169491525</c:v>
                </c:pt>
                <c:pt idx="1">
                  <c:v>0.650793650793651</c:v>
                </c:pt>
                <c:pt idx="2">
                  <c:v>0.771929824561403</c:v>
                </c:pt>
                <c:pt idx="3">
                  <c:v>0.538461538461538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  <c:extLst>
      <c:ext uri="{0b15fc19-7d7d-44ad-8c2d-2c3a37ce22c3}">
        <chartProps xmlns="https://web.wps.cn/et/2018/main" chartId="{76759114-49bc-4884-84b5-2f7f7e01a76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8288000" y="1638300"/>
        <a:ext cx="8458200" cy="825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8288000" y="1574800"/>
        <a:ext cx="8458200" cy="1012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27</xdr:row>
      <xdr:rowOff>0</xdr:rowOff>
    </xdr:from>
    <xdr:to>
      <xdr:col>21</xdr:col>
      <xdr:colOff>0</xdr:colOff>
      <xdr:row>45</xdr:row>
      <xdr:rowOff>0</xdr:rowOff>
    </xdr:to>
    <xdr:graphicFrame>
      <xdr:nvGraphicFramePr>
        <xdr:cNvPr id="3" name="Chart"/>
        <xdr:cNvGraphicFramePr/>
      </xdr:nvGraphicFramePr>
      <xdr:xfrm>
        <a:off x="18288000" y="14554200"/>
        <a:ext cx="8458200" cy="8001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8288000" y="1574800"/>
        <a:ext cx="8458200" cy="101219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4</xdr:row>
      <xdr:rowOff>0</xdr:rowOff>
    </xdr:from>
    <xdr:to>
      <xdr:col>21</xdr:col>
      <xdr:colOff>0</xdr:colOff>
      <xdr:row>22</xdr:row>
      <xdr:rowOff>0</xdr:rowOff>
    </xdr:to>
    <xdr:graphicFrame>
      <xdr:nvGraphicFramePr>
        <xdr:cNvPr id="2" name="Chart"/>
        <xdr:cNvGraphicFramePr/>
      </xdr:nvGraphicFramePr>
      <xdr:xfrm>
        <a:off x="18288000" y="1574800"/>
        <a:ext cx="8458200" cy="8318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workbookViewId="0">
      <pane ySplit="5" topLeftCell="A48" activePane="bottomLeft" state="frozen"/>
      <selection/>
      <selection pane="bottomLeft" activeCell="C144" sqref="C144"/>
    </sheetView>
  </sheetViews>
  <sheetFormatPr defaultColWidth="9" defaultRowHeight="14"/>
  <cols>
    <col min="1" max="1" width="18" customWidth="1"/>
    <col min="2" max="2" width="46" customWidth="1"/>
    <col min="3" max="5" width="14" customWidth="1"/>
    <col min="6" max="6" width="54" customWidth="1"/>
    <col min="7" max="14" width="16" customWidth="1"/>
  </cols>
  <sheetData>
    <row r="1" ht="32" customHeight="1" spans="1:14">
      <c r="A1" s="4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</row>
    <row r="2" ht="40" customHeight="1" spans="1:14">
      <c r="A2" s="2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32" customHeight="1" spans="1:14">
      <c r="A4" s="1" t="s">
        <v>2</v>
      </c>
      <c r="B4" s="1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25" customHeight="1" spans="1:14">
      <c r="A5" s="3" t="s">
        <v>4</v>
      </c>
      <c r="B5" s="3">
        <f>COUNTA(#REF!)</f>
        <v>1</v>
      </c>
      <c r="C5" s="3"/>
      <c r="D5" s="3"/>
      <c r="E5" s="3"/>
      <c r="F5" s="3"/>
      <c r="G5" s="3"/>
      <c r="H5" s="3"/>
      <c r="I5" s="3" t="s">
        <v>5</v>
      </c>
      <c r="J5" s="3" t="s">
        <v>3</v>
      </c>
      <c r="K5" s="3"/>
      <c r="L5" s="3"/>
      <c r="M5" s="3"/>
      <c r="N5" s="3"/>
    </row>
    <row r="6" ht="25" customHeight="1" spans="1:14">
      <c r="A6" s="3" t="s">
        <v>6</v>
      </c>
      <c r="B6" s="3">
        <f>COUNTIFS(数据清洗!$D$2:$D$177,0)</f>
        <v>1</v>
      </c>
      <c r="C6" s="3"/>
      <c r="D6" s="3"/>
      <c r="E6" s="3"/>
      <c r="F6" s="3"/>
      <c r="G6" s="3"/>
      <c r="H6" s="3"/>
      <c r="I6" s="3" t="s">
        <v>7</v>
      </c>
      <c r="J6" s="3">
        <f>基本信息统计!C16</f>
        <v>35</v>
      </c>
      <c r="K6" s="3"/>
      <c r="L6" s="3"/>
      <c r="M6" s="3"/>
      <c r="N6" s="3"/>
    </row>
    <row r="7" ht="25" customHeight="1" spans="1:14">
      <c r="A7" s="3" t="s">
        <v>8</v>
      </c>
      <c r="B7" s="3">
        <f>COUNTIFS(数据清洗!$D$2:$D$177,1)</f>
        <v>175</v>
      </c>
      <c r="C7" s="3"/>
      <c r="D7" s="3"/>
      <c r="E7" s="3"/>
      <c r="F7" s="3"/>
      <c r="G7" s="3"/>
      <c r="H7" s="3"/>
      <c r="I7" s="3" t="s">
        <v>9</v>
      </c>
      <c r="J7" s="3">
        <f>基本信息统计!C15</f>
        <v>55</v>
      </c>
      <c r="K7" s="3"/>
      <c r="L7" s="3"/>
      <c r="M7" s="3"/>
      <c r="N7" s="3"/>
    </row>
    <row r="8" ht="25" customHeight="1" spans="1:14">
      <c r="A8" s="3" t="s">
        <v>10</v>
      </c>
      <c r="B8" s="3">
        <f>COUNTIFS(数据清洗!$D$2:$D$177,1,数据清洗!$Q$2:$Q$177,1)</f>
        <v>53</v>
      </c>
      <c r="C8" s="3"/>
      <c r="D8" s="3"/>
      <c r="E8" s="3"/>
      <c r="F8" s="3"/>
      <c r="G8" s="3"/>
      <c r="H8" s="3"/>
      <c r="I8" s="3" t="s">
        <v>11</v>
      </c>
      <c r="J8" s="3">
        <f>基本信息统计!C14</f>
        <v>26</v>
      </c>
      <c r="K8" s="3"/>
      <c r="L8" s="3"/>
      <c r="M8" s="3"/>
      <c r="N8" s="3"/>
    </row>
    <row r="9" ht="25" customHeight="1" spans="1:14">
      <c r="A9" s="3" t="s">
        <v>12</v>
      </c>
      <c r="B9" s="3">
        <f>COUNTIFS(数据清洗!$E$2:$E$177,1)</f>
        <v>122</v>
      </c>
      <c r="C9" s="3"/>
      <c r="D9" s="3"/>
      <c r="E9" s="3"/>
      <c r="F9" s="3"/>
      <c r="G9" s="3"/>
      <c r="H9" s="3"/>
      <c r="I9" s="3" t="s">
        <v>13</v>
      </c>
      <c r="J9" s="3">
        <f>基本信息统计!C18</f>
        <v>3</v>
      </c>
      <c r="K9" s="3"/>
      <c r="L9" s="3"/>
      <c r="M9" s="3"/>
      <c r="N9" s="3"/>
    </row>
    <row r="10" ht="25" customHeight="1" spans="1:14">
      <c r="A10" s="3"/>
      <c r="B10" s="3"/>
      <c r="C10" s="3"/>
      <c r="D10" s="3"/>
      <c r="E10" s="3"/>
      <c r="F10" s="3"/>
      <c r="G10" s="3"/>
      <c r="H10" s="3"/>
      <c r="I10" s="3" t="s">
        <v>14</v>
      </c>
      <c r="J10" s="3">
        <f>基本信息统计!C17</f>
        <v>3</v>
      </c>
      <c r="K10" s="3"/>
      <c r="L10" s="3"/>
      <c r="M10" s="3"/>
      <c r="N10" s="3"/>
    </row>
    <row r="11" ht="38" customHeight="1" spans="1:14">
      <c r="A11" s="2" t="s">
        <v>15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</row>
    <row r="12" ht="25" customHeight="1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32" customHeight="1" spans="1:14">
      <c r="A13" s="1" t="s">
        <v>16</v>
      </c>
      <c r="B13" s="1" t="s">
        <v>5</v>
      </c>
      <c r="C13" s="1" t="s">
        <v>17</v>
      </c>
      <c r="D13" s="1" t="s">
        <v>18</v>
      </c>
      <c r="E13" s="1" t="s">
        <v>19</v>
      </c>
      <c r="F13" s="1" t="s">
        <v>20</v>
      </c>
      <c r="G13" s="3"/>
      <c r="H13" s="3"/>
      <c r="I13" s="3"/>
      <c r="J13" s="3"/>
      <c r="K13" s="3"/>
      <c r="L13" s="3"/>
      <c r="M13" s="3"/>
      <c r="N13" s="3"/>
    </row>
    <row r="14" ht="45" customHeight="1" spans="1:14">
      <c r="A14" s="2" t="s">
        <v>21</v>
      </c>
      <c r="B14" s="2" t="s">
        <v>11</v>
      </c>
      <c r="C14" s="2">
        <f>COUNTIFS(数据清洗!$E$2:$E$177,1,数据清洗!$G$2:$G$177,"30–39岁")</f>
        <v>26</v>
      </c>
      <c r="D14" s="2">
        <f>COUNTIFS(数据清洗!$E$2:$E$177,1)</f>
        <v>122</v>
      </c>
      <c r="E14" s="5">
        <f t="shared" ref="E14:E34" si="0">IF(D14=0,"",C14/D14)</f>
        <v>0.213114754098361</v>
      </c>
      <c r="F14" s="2" t="s">
        <v>12</v>
      </c>
      <c r="G14" s="3"/>
      <c r="H14" s="3"/>
      <c r="I14" s="3"/>
      <c r="J14" s="3"/>
      <c r="K14" s="3"/>
      <c r="L14" s="3"/>
      <c r="M14" s="3"/>
      <c r="N14" s="3"/>
    </row>
    <row r="15" ht="45" customHeight="1" spans="1:14">
      <c r="A15" s="2" t="s">
        <v>21</v>
      </c>
      <c r="B15" s="2" t="s">
        <v>9</v>
      </c>
      <c r="C15" s="2">
        <f>COUNTIFS(数据清洗!$E$2:$E$177,1,数据清洗!$G$2:$G$177,"23–29岁")</f>
        <v>55</v>
      </c>
      <c r="D15" s="2">
        <f>COUNTIFS(数据清洗!$E$2:$E$177,1)</f>
        <v>122</v>
      </c>
      <c r="E15" s="5">
        <f t="shared" si="0"/>
        <v>0.450819672131148</v>
      </c>
      <c r="F15" s="2" t="s">
        <v>12</v>
      </c>
      <c r="G15" s="3"/>
      <c r="H15" s="3"/>
      <c r="I15" s="3"/>
      <c r="J15" s="3"/>
      <c r="K15" s="3"/>
      <c r="L15" s="3"/>
      <c r="M15" s="3"/>
      <c r="N15" s="3"/>
    </row>
    <row r="16" ht="45" customHeight="1" spans="1:14">
      <c r="A16" s="2" t="s">
        <v>21</v>
      </c>
      <c r="B16" s="2" t="s">
        <v>7</v>
      </c>
      <c r="C16" s="2">
        <f>COUNTIFS(数据清洗!$E$2:$E$177,1,数据清洗!$G$2:$G$177,"18–22岁")</f>
        <v>35</v>
      </c>
      <c r="D16" s="2">
        <f>COUNTIFS(数据清洗!$E$2:$E$177,1)</f>
        <v>122</v>
      </c>
      <c r="E16" s="5">
        <f t="shared" si="0"/>
        <v>0.286885245901639</v>
      </c>
      <c r="F16" s="2" t="s">
        <v>12</v>
      </c>
      <c r="G16" s="3"/>
      <c r="H16" s="3"/>
      <c r="I16" s="3"/>
      <c r="J16" s="3"/>
      <c r="K16" s="3"/>
      <c r="L16" s="3"/>
      <c r="M16" s="3"/>
      <c r="N16" s="3"/>
    </row>
    <row r="17" ht="45" customHeight="1" spans="1:14">
      <c r="A17" s="2" t="s">
        <v>21</v>
      </c>
      <c r="B17" s="2" t="s">
        <v>14</v>
      </c>
      <c r="C17" s="2">
        <f>COUNTIFS(数据清洗!$E$2:$E$177,1,数据清洗!$G$2:$G$177,"不愿透露")</f>
        <v>3</v>
      </c>
      <c r="D17" s="2">
        <f>COUNTIFS(数据清洗!$E$2:$E$177,1)</f>
        <v>122</v>
      </c>
      <c r="E17" s="5">
        <f t="shared" si="0"/>
        <v>0.0245901639344262</v>
      </c>
      <c r="F17" s="2" t="s">
        <v>12</v>
      </c>
      <c r="G17" s="3"/>
      <c r="H17" s="3"/>
      <c r="I17" s="3"/>
      <c r="J17" s="3"/>
      <c r="K17" s="3"/>
      <c r="L17" s="3"/>
      <c r="M17" s="3"/>
      <c r="N17" s="3"/>
    </row>
    <row r="18" ht="45" customHeight="1" spans="1:14">
      <c r="A18" s="2" t="s">
        <v>21</v>
      </c>
      <c r="B18" s="2" t="s">
        <v>13</v>
      </c>
      <c r="C18" s="2">
        <f>COUNTIFS(数据清洗!$E$2:$E$177,1,数据清洗!$G$2:$G$177,"40岁及以上")</f>
        <v>3</v>
      </c>
      <c r="D18" s="2">
        <f>COUNTIFS(数据清洗!$E$2:$E$177,1)</f>
        <v>122</v>
      </c>
      <c r="E18" s="5">
        <f t="shared" si="0"/>
        <v>0.0245901639344262</v>
      </c>
      <c r="F18" s="2" t="s">
        <v>12</v>
      </c>
      <c r="G18" s="3"/>
      <c r="H18" s="3"/>
      <c r="I18" s="3"/>
      <c r="J18" s="3"/>
      <c r="K18" s="3"/>
      <c r="L18" s="3"/>
      <c r="M18" s="3"/>
      <c r="N18" s="3"/>
    </row>
    <row r="19" ht="45" customHeight="1" spans="1:14">
      <c r="A19" s="2" t="s">
        <v>22</v>
      </c>
      <c r="B19" s="2" t="s">
        <v>23</v>
      </c>
      <c r="C19" s="2">
        <f>COUNTIFS(数据清洗!$E$2:$E$177,1,数据清洗!$H$2:$H$177,"女")</f>
        <v>40</v>
      </c>
      <c r="D19" s="2">
        <f>COUNTIFS(数据清洗!$E$2:$E$177,1)</f>
        <v>122</v>
      </c>
      <c r="E19" s="5">
        <f t="shared" si="0"/>
        <v>0.327868852459016</v>
      </c>
      <c r="F19" s="2" t="s">
        <v>12</v>
      </c>
      <c r="G19" s="3"/>
      <c r="H19" s="3"/>
      <c r="I19" s="3"/>
      <c r="J19" s="3"/>
      <c r="K19" s="3"/>
      <c r="L19" s="3"/>
      <c r="M19" s="3"/>
      <c r="N19" s="3"/>
    </row>
    <row r="20" ht="45" customHeight="1" spans="1:14">
      <c r="A20" s="2" t="s">
        <v>22</v>
      </c>
      <c r="B20" s="2" t="s">
        <v>24</v>
      </c>
      <c r="C20" s="2">
        <f>COUNTIFS(数据清洗!$E$2:$E$177,1,数据清洗!$H$2:$H$177,"男")</f>
        <v>75</v>
      </c>
      <c r="D20" s="2">
        <f>COUNTIFS(数据清洗!$E$2:$E$177,1)</f>
        <v>122</v>
      </c>
      <c r="E20" s="5">
        <f t="shared" si="0"/>
        <v>0.614754098360656</v>
      </c>
      <c r="F20" s="2" t="s">
        <v>12</v>
      </c>
      <c r="G20" s="3"/>
      <c r="H20" s="3"/>
      <c r="I20" s="3"/>
      <c r="J20" s="3"/>
      <c r="K20" s="3"/>
      <c r="L20" s="3"/>
      <c r="M20" s="3"/>
      <c r="N20" s="3"/>
    </row>
    <row r="21" ht="45" customHeight="1" spans="1:14">
      <c r="A21" s="2" t="s">
        <v>22</v>
      </c>
      <c r="B21" s="2" t="s">
        <v>25</v>
      </c>
      <c r="C21" s="2">
        <f>COUNTIFS(数据清洗!$E$2:$E$177,1,数据清洗!$H$2:$H$177,"其他")</f>
        <v>4</v>
      </c>
      <c r="D21" s="2">
        <f>COUNTIFS(数据清洗!$E$2:$E$177,1)</f>
        <v>122</v>
      </c>
      <c r="E21" s="5">
        <f t="shared" si="0"/>
        <v>0.0327868852459016</v>
      </c>
      <c r="F21" s="2" t="s">
        <v>12</v>
      </c>
      <c r="G21" s="3"/>
      <c r="H21" s="3"/>
      <c r="I21" s="3"/>
      <c r="J21" s="3"/>
      <c r="K21" s="3"/>
      <c r="L21" s="3"/>
      <c r="M21" s="3"/>
      <c r="N21" s="3"/>
    </row>
    <row r="22" ht="45" customHeight="1" spans="1:14">
      <c r="A22" s="2" t="s">
        <v>22</v>
      </c>
      <c r="B22" s="2" t="s">
        <v>14</v>
      </c>
      <c r="C22" s="2">
        <f>COUNTIFS(数据清洗!$E$2:$E$177,1,数据清洗!$H$2:$H$177,"不愿透露")</f>
        <v>3</v>
      </c>
      <c r="D22" s="2">
        <f>COUNTIFS(数据清洗!$E$2:$E$177,1)</f>
        <v>122</v>
      </c>
      <c r="E22" s="5">
        <f t="shared" si="0"/>
        <v>0.0245901639344262</v>
      </c>
      <c r="F22" s="2" t="s">
        <v>12</v>
      </c>
      <c r="G22" s="3"/>
      <c r="H22" s="3"/>
      <c r="I22" s="3"/>
      <c r="J22" s="3"/>
      <c r="K22" s="3"/>
      <c r="L22" s="3"/>
      <c r="M22" s="3"/>
      <c r="N22" s="3"/>
    </row>
    <row r="23" ht="45" customHeight="1" spans="1:14">
      <c r="A23" s="2" t="s">
        <v>26</v>
      </c>
      <c r="B23" s="2" t="s">
        <v>27</v>
      </c>
      <c r="C23" s="2">
        <f>COUNTIFS(数据清洗!$E$2:$E$177,1,数据清洗!$I$2:$I$177,"硕士研究生及以上")</f>
        <v>4</v>
      </c>
      <c r="D23" s="2">
        <f>COUNTIFS(数据清洗!$E$2:$E$177,1)</f>
        <v>122</v>
      </c>
      <c r="E23" s="5">
        <f t="shared" si="0"/>
        <v>0.0327868852459016</v>
      </c>
      <c r="F23" s="2" t="s">
        <v>12</v>
      </c>
      <c r="G23" s="3"/>
      <c r="H23" s="3"/>
      <c r="I23" s="3"/>
      <c r="J23" s="3"/>
      <c r="K23" s="3"/>
      <c r="L23" s="3"/>
      <c r="M23" s="3"/>
      <c r="N23" s="3"/>
    </row>
    <row r="24" ht="45" customHeight="1" spans="1:14">
      <c r="A24" s="2" t="s">
        <v>26</v>
      </c>
      <c r="B24" s="2" t="s">
        <v>28</v>
      </c>
      <c r="C24" s="2">
        <f>COUNTIFS(数据清洗!$E$2:$E$177,1,数据清洗!$I$2:$I$177,"本科")</f>
        <v>78</v>
      </c>
      <c r="D24" s="2">
        <f>COUNTIFS(数据清洗!$E$2:$E$177,1)</f>
        <v>122</v>
      </c>
      <c r="E24" s="5">
        <f t="shared" si="0"/>
        <v>0.639344262295082</v>
      </c>
      <c r="F24" s="2" t="s">
        <v>12</v>
      </c>
      <c r="G24" s="3"/>
      <c r="H24" s="3"/>
      <c r="I24" s="3"/>
      <c r="J24" s="3"/>
      <c r="K24" s="3"/>
      <c r="L24" s="3"/>
      <c r="M24" s="3"/>
      <c r="N24" s="3"/>
    </row>
    <row r="25" ht="45" customHeight="1" spans="1:14">
      <c r="A25" s="2" t="s">
        <v>26</v>
      </c>
      <c r="B25" s="2" t="s">
        <v>29</v>
      </c>
      <c r="C25" s="2">
        <f>COUNTIFS(数据清洗!$E$2:$E$177,1,数据清洗!$I$2:$I$177,"大专")</f>
        <v>25</v>
      </c>
      <c r="D25" s="2">
        <f>COUNTIFS(数据清洗!$E$2:$E$177,1)</f>
        <v>122</v>
      </c>
      <c r="E25" s="5">
        <f t="shared" si="0"/>
        <v>0.204918032786885</v>
      </c>
      <c r="F25" s="2" t="s">
        <v>12</v>
      </c>
      <c r="G25" s="3"/>
      <c r="H25" s="3"/>
      <c r="I25" s="3"/>
      <c r="J25" s="3"/>
      <c r="K25" s="3"/>
      <c r="L25" s="3"/>
      <c r="M25" s="3"/>
      <c r="N25" s="3"/>
    </row>
    <row r="26" ht="45" customHeight="1" spans="1:14">
      <c r="A26" s="2" t="s">
        <v>26</v>
      </c>
      <c r="B26" s="2" t="s">
        <v>14</v>
      </c>
      <c r="C26" s="2">
        <f>COUNTIFS(数据清洗!$E$2:$E$177,1,数据清洗!$I$2:$I$177,"不愿透露")</f>
        <v>2</v>
      </c>
      <c r="D26" s="2">
        <f>COUNTIFS(数据清洗!$E$2:$E$177,1)</f>
        <v>122</v>
      </c>
      <c r="E26" s="5">
        <f t="shared" si="0"/>
        <v>0.0163934426229508</v>
      </c>
      <c r="F26" s="2" t="s">
        <v>12</v>
      </c>
      <c r="G26" s="3"/>
      <c r="H26" s="3"/>
      <c r="I26" s="3"/>
      <c r="J26" s="3"/>
      <c r="K26" s="3"/>
      <c r="L26" s="3"/>
      <c r="M26" s="3"/>
      <c r="N26" s="3"/>
    </row>
    <row r="27" ht="45" customHeight="1" spans="1:14">
      <c r="A27" s="2" t="s">
        <v>26</v>
      </c>
      <c r="B27" s="2" t="s">
        <v>30</v>
      </c>
      <c r="C27" s="2">
        <f>COUNTIFS(数据清洗!$E$2:$E$177,1,数据清洗!$I$2:$I$177,"高中／中专／职高／技校")</f>
        <v>12</v>
      </c>
      <c r="D27" s="2">
        <f>COUNTIFS(数据清洗!$E$2:$E$177,1)</f>
        <v>122</v>
      </c>
      <c r="E27" s="5">
        <f t="shared" si="0"/>
        <v>0.0983606557377049</v>
      </c>
      <c r="F27" s="2" t="s">
        <v>12</v>
      </c>
      <c r="G27" s="3"/>
      <c r="H27" s="3"/>
      <c r="I27" s="3"/>
      <c r="J27" s="3"/>
      <c r="K27" s="3"/>
      <c r="L27" s="3"/>
      <c r="M27" s="3"/>
      <c r="N27" s="3"/>
    </row>
    <row r="28" ht="45" customHeight="1" spans="1:14">
      <c r="A28" s="2" t="s">
        <v>26</v>
      </c>
      <c r="B28" s="2" t="s">
        <v>31</v>
      </c>
      <c r="C28" s="2">
        <f>COUNTIFS(数据清洗!$E$2:$E$177,1,数据清洗!$I$2:$I$177,"初中及以下")</f>
        <v>1</v>
      </c>
      <c r="D28" s="2">
        <f>COUNTIFS(数据清洗!$E$2:$E$177,1)</f>
        <v>122</v>
      </c>
      <c r="E28" s="5">
        <f t="shared" si="0"/>
        <v>0.00819672131147541</v>
      </c>
      <c r="F28" s="2" t="s">
        <v>12</v>
      </c>
      <c r="G28" s="3"/>
      <c r="H28" s="3"/>
      <c r="I28" s="3"/>
      <c r="J28" s="3"/>
      <c r="K28" s="3"/>
      <c r="L28" s="3"/>
      <c r="M28" s="3"/>
      <c r="N28" s="3"/>
    </row>
    <row r="29" ht="45" customHeight="1" spans="1:14">
      <c r="A29" s="2" t="s">
        <v>32</v>
      </c>
      <c r="B29" s="2" t="s">
        <v>33</v>
      </c>
      <c r="C29" s="2">
        <f>COUNTIFS(数据清洗!$E$2:$E$177,1,数据清洗!$J$2:$J$177,"从未使用过B站")</f>
        <v>5</v>
      </c>
      <c r="D29" s="2">
        <f>COUNTIFS(数据清洗!$E$2:$E$177,1)</f>
        <v>122</v>
      </c>
      <c r="E29" s="5">
        <f t="shared" si="0"/>
        <v>0.040983606557377</v>
      </c>
      <c r="F29" s="2" t="s">
        <v>12</v>
      </c>
      <c r="G29" s="3"/>
      <c r="H29" s="3"/>
      <c r="I29" s="3"/>
      <c r="J29" s="3"/>
      <c r="K29" s="3"/>
      <c r="L29" s="3"/>
      <c r="M29" s="3"/>
      <c r="N29" s="3"/>
    </row>
    <row r="30" ht="45" customHeight="1" spans="1:14">
      <c r="A30" s="2" t="s">
        <v>32</v>
      </c>
      <c r="B30" s="2" t="s">
        <v>34</v>
      </c>
      <c r="C30" s="2">
        <f>COUNTIFS(数据清洗!$E$2:$E$177,1,数据清洗!$J$2:$J$177,"每周1–2天")</f>
        <v>29</v>
      </c>
      <c r="D30" s="2">
        <f>COUNTIFS(数据清洗!$E$2:$E$177,1)</f>
        <v>122</v>
      </c>
      <c r="E30" s="5">
        <f t="shared" si="0"/>
        <v>0.237704918032787</v>
      </c>
      <c r="F30" s="2" t="s">
        <v>12</v>
      </c>
      <c r="G30" s="3"/>
      <c r="H30" s="3"/>
      <c r="I30" s="3"/>
      <c r="J30" s="3"/>
      <c r="K30" s="3"/>
      <c r="L30" s="3"/>
      <c r="M30" s="3"/>
      <c r="N30" s="3"/>
    </row>
    <row r="31" ht="45" customHeight="1" spans="1:14">
      <c r="A31" s="2" t="s">
        <v>32</v>
      </c>
      <c r="B31" s="2" t="s">
        <v>35</v>
      </c>
      <c r="C31" s="2">
        <f>COUNTIFS(数据清洗!$E$2:$E$177,1,数据清洗!$J$2:$J$177,"几乎每天")</f>
        <v>39</v>
      </c>
      <c r="D31" s="2">
        <f>COUNTIFS(数据清洗!$E$2:$E$177,1)</f>
        <v>122</v>
      </c>
      <c r="E31" s="5">
        <f t="shared" si="0"/>
        <v>0.319672131147541</v>
      </c>
      <c r="F31" s="2" t="s">
        <v>12</v>
      </c>
      <c r="G31" s="3"/>
      <c r="H31" s="3"/>
      <c r="I31" s="3"/>
      <c r="J31" s="3"/>
      <c r="K31" s="3"/>
      <c r="L31" s="3"/>
      <c r="M31" s="3"/>
      <c r="N31" s="3"/>
    </row>
    <row r="32" ht="45" customHeight="1" spans="1:14">
      <c r="A32" s="2" t="s">
        <v>32</v>
      </c>
      <c r="B32" s="2" t="s">
        <v>36</v>
      </c>
      <c r="C32" s="2">
        <f>COUNTIFS(数据清洗!$E$2:$E$177,1,数据清洗!$J$2:$J$177,"少于每周1天")</f>
        <v>13</v>
      </c>
      <c r="D32" s="2">
        <f>COUNTIFS(数据清洗!$E$2:$E$177,1)</f>
        <v>122</v>
      </c>
      <c r="E32" s="5">
        <f t="shared" si="0"/>
        <v>0.10655737704918</v>
      </c>
      <c r="F32" s="2" t="s">
        <v>12</v>
      </c>
      <c r="G32" s="3"/>
      <c r="H32" s="3"/>
      <c r="I32" s="3"/>
      <c r="J32" s="3"/>
      <c r="K32" s="3"/>
      <c r="L32" s="3"/>
      <c r="M32" s="3"/>
      <c r="N32" s="3"/>
    </row>
    <row r="33" ht="45" customHeight="1" spans="1:14">
      <c r="A33" s="2" t="s">
        <v>32</v>
      </c>
      <c r="B33" s="2" t="s">
        <v>37</v>
      </c>
      <c r="C33" s="2">
        <f>COUNTIFS(数据清洗!$E$2:$E$177,1,数据清洗!$J$2:$J$177,"每周3–6天")</f>
        <v>34</v>
      </c>
      <c r="D33" s="2">
        <f>COUNTIFS(数据清洗!$E$2:$E$177,1)</f>
        <v>122</v>
      </c>
      <c r="E33" s="5">
        <f t="shared" si="0"/>
        <v>0.278688524590164</v>
      </c>
      <c r="F33" s="2" t="s">
        <v>12</v>
      </c>
      <c r="G33" s="3"/>
      <c r="H33" s="3"/>
      <c r="I33" s="3"/>
      <c r="J33" s="3"/>
      <c r="K33" s="3"/>
      <c r="L33" s="3"/>
      <c r="M33" s="3"/>
      <c r="N33" s="3"/>
    </row>
    <row r="34" ht="45" customHeight="1" spans="1:14">
      <c r="A34" s="2" t="s">
        <v>32</v>
      </c>
      <c r="B34" s="2" t="s">
        <v>38</v>
      </c>
      <c r="C34" s="2">
        <f>COUNTIFS(数据清洗!$E$2:$E$177,1,数据清洗!$J$2:$J$177,"过去3个月没有使用过")</f>
        <v>2</v>
      </c>
      <c r="D34" s="2">
        <f>COUNTIFS(数据清洗!$E$2:$E$177,1)</f>
        <v>122</v>
      </c>
      <c r="E34" s="5">
        <f t="shared" si="0"/>
        <v>0.0163934426229508</v>
      </c>
      <c r="F34" s="2" t="s">
        <v>12</v>
      </c>
      <c r="G34" s="3"/>
      <c r="H34" s="3"/>
      <c r="I34" s="3"/>
      <c r="J34" s="3"/>
      <c r="K34" s="3"/>
      <c r="L34" s="3"/>
      <c r="M34" s="3"/>
      <c r="N34" s="3"/>
    </row>
    <row r="35" ht="25" customHeight="1" spans="1:14">
      <c r="A35" s="3"/>
      <c r="B35" s="3"/>
      <c r="C35" s="3"/>
      <c r="D35" s="3"/>
      <c r="E35" s="6"/>
      <c r="F35" s="3"/>
      <c r="G35" s="3"/>
      <c r="H35" s="3"/>
      <c r="I35" s="3"/>
      <c r="J35" s="3"/>
      <c r="K35" s="3"/>
      <c r="L35" s="3"/>
      <c r="M35" s="3"/>
      <c r="N35" s="3"/>
    </row>
    <row r="36" ht="25" customHeight="1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25" customHeight="1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25" customHeight="1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25" customHeight="1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25" customHeight="1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25" customHeight="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25" customHeight="1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25" customHeight="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25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25" customHeight="1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25" customHeight="1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25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25" customHeight="1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25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25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5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25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25" customHeight="1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25" customHeight="1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25" customHeight="1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25" customHeight="1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25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25" customHeight="1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25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25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5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25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25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25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2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25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25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5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25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25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25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25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5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25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2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25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25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25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5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25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25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25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25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25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2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25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25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25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25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25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5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25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25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25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2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25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25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25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25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25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25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25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25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25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2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25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25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25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25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25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25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25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25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25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2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25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25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25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25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25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25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25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25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25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25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25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25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25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25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25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25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5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25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2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25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25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25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5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25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25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25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25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25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2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25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25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25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25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25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25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25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25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25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2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25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25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25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25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25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25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25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25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25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2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25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25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25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25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25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25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25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25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25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2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25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25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25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25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25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25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25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25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25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25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5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25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25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25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25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25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25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25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2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25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25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25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25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25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25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25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25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25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2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25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25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25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25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25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25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25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25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25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2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25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25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25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5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25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25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25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25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25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25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25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25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25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25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25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25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25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25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2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25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25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25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25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25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25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25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25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25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2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25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25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25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25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25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25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25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25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25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2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25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25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25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25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25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</sheetData>
  <mergeCells count="3">
    <mergeCell ref="A1:G1"/>
    <mergeCell ref="A2:G2"/>
    <mergeCell ref="A11:G11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workbookViewId="0">
      <pane ySplit="5" topLeftCell="A31" activePane="bottomLeft" state="frozen"/>
      <selection/>
      <selection pane="bottomLeft" activeCell="A1" sqref="A1:G1"/>
    </sheetView>
  </sheetViews>
  <sheetFormatPr defaultColWidth="9" defaultRowHeight="14"/>
  <cols>
    <col min="1" max="1" width="18" customWidth="1"/>
    <col min="2" max="2" width="46" customWidth="1"/>
    <col min="3" max="5" width="14" customWidth="1"/>
    <col min="6" max="6" width="54" customWidth="1"/>
    <col min="7" max="14" width="16" customWidth="1"/>
  </cols>
  <sheetData>
    <row r="1" ht="32" customHeight="1" spans="1:14">
      <c r="A1" s="4" t="s">
        <v>39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</row>
    <row r="2" ht="42" customHeight="1" spans="1:14">
      <c r="A2" s="2" t="s">
        <v>40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5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32" customHeight="1" spans="1:14">
      <c r="A5" s="1" t="s">
        <v>16</v>
      </c>
      <c r="B5" s="1" t="s">
        <v>5</v>
      </c>
      <c r="C5" s="1" t="s">
        <v>17</v>
      </c>
      <c r="D5" s="1" t="s">
        <v>18</v>
      </c>
      <c r="E5" s="1" t="s">
        <v>19</v>
      </c>
      <c r="F5" s="1" t="s">
        <v>20</v>
      </c>
      <c r="G5" s="3"/>
      <c r="H5" s="3"/>
      <c r="I5" s="3" t="s">
        <v>5</v>
      </c>
      <c r="J5" s="3" t="s">
        <v>3</v>
      </c>
      <c r="K5" s="3"/>
      <c r="L5" s="3"/>
      <c r="M5" s="3"/>
      <c r="N5" s="3"/>
    </row>
    <row r="6" ht="45" customHeight="1" spans="1:14">
      <c r="A6" s="2" t="s">
        <v>41</v>
      </c>
      <c r="B6" s="2" t="s">
        <v>42</v>
      </c>
      <c r="C6" s="2">
        <f>COUNTIFS(数据清洗!$E$2:$E$177,1,数据清洗!$K$2:$K$177,"1–2次")</f>
        <v>33</v>
      </c>
      <c r="D6" s="2">
        <f>COUNTIFS(数据清洗!$E$2:$E$177,1)</f>
        <v>122</v>
      </c>
      <c r="E6" s="5">
        <f t="shared" ref="E6:E36" si="0">IF(D6=0,"",C6/D6)</f>
        <v>0.270491803278689</v>
      </c>
      <c r="F6" s="2" t="s">
        <v>12</v>
      </c>
      <c r="G6" s="3"/>
      <c r="H6" s="3"/>
      <c r="I6" s="3" t="s">
        <v>43</v>
      </c>
      <c r="J6" s="3">
        <f>购买及闲置行为!C12</f>
        <v>58</v>
      </c>
      <c r="K6" s="3"/>
      <c r="L6" s="3"/>
      <c r="M6" s="3"/>
      <c r="N6" s="3"/>
    </row>
    <row r="7" ht="45" customHeight="1" spans="1:14">
      <c r="A7" s="2" t="s">
        <v>41</v>
      </c>
      <c r="B7" s="2" t="s">
        <v>44</v>
      </c>
      <c r="C7" s="2">
        <f>COUNTIFS(数据清洗!$E$2:$E$177,1,数据清洗!$K$2:$K$177,"3–5次")</f>
        <v>38</v>
      </c>
      <c r="D7" s="2">
        <f>COUNTIFS(数据清洗!$E$2:$E$177,1)</f>
        <v>122</v>
      </c>
      <c r="E7" s="5">
        <f t="shared" si="0"/>
        <v>0.311475409836066</v>
      </c>
      <c r="F7" s="2" t="s">
        <v>12</v>
      </c>
      <c r="G7" s="3"/>
      <c r="H7" s="3"/>
      <c r="I7" s="3" t="s">
        <v>45</v>
      </c>
      <c r="J7" s="3">
        <f>购买及闲置行为!C13</f>
        <v>43</v>
      </c>
      <c r="K7" s="3"/>
      <c r="L7" s="3"/>
      <c r="M7" s="3"/>
      <c r="N7" s="3"/>
    </row>
    <row r="8" ht="45" customHeight="1" spans="1:14">
      <c r="A8" s="2" t="s">
        <v>41</v>
      </c>
      <c r="B8" s="2" t="s">
        <v>46</v>
      </c>
      <c r="C8" s="2">
        <f>COUNTIFS(数据清洗!$E$2:$E$177,1,数据清洗!$K$2:$K$177,"0次")</f>
        <v>28</v>
      </c>
      <c r="D8" s="2">
        <f>COUNTIFS(数据清洗!$E$2:$E$177,1)</f>
        <v>122</v>
      </c>
      <c r="E8" s="5">
        <f t="shared" si="0"/>
        <v>0.229508196721311</v>
      </c>
      <c r="F8" s="2" t="s">
        <v>12</v>
      </c>
      <c r="G8" s="3"/>
      <c r="H8" s="3"/>
      <c r="I8" s="3" t="s">
        <v>47</v>
      </c>
      <c r="J8" s="3">
        <f>购买及闲置行为!C14</f>
        <v>21</v>
      </c>
      <c r="K8" s="3"/>
      <c r="L8" s="3"/>
      <c r="M8" s="3"/>
      <c r="N8" s="3"/>
    </row>
    <row r="9" ht="45" customHeight="1" spans="1:14">
      <c r="A9" s="2" t="s">
        <v>41</v>
      </c>
      <c r="B9" s="2" t="s">
        <v>48</v>
      </c>
      <c r="C9" s="2">
        <f>COUNTIFS(数据清洗!$E$2:$E$177,1,数据清洗!$K$2:$K$177,"6–11次")</f>
        <v>20</v>
      </c>
      <c r="D9" s="2">
        <f>COUNTIFS(数据清洗!$E$2:$E$177,1)</f>
        <v>122</v>
      </c>
      <c r="E9" s="5">
        <f t="shared" si="0"/>
        <v>0.163934426229508</v>
      </c>
      <c r="F9" s="2" t="s">
        <v>12</v>
      </c>
      <c r="G9" s="3"/>
      <c r="H9" s="3"/>
      <c r="I9" s="3"/>
      <c r="J9" s="3"/>
      <c r="K9" s="3"/>
      <c r="L9" s="3"/>
      <c r="M9" s="3"/>
      <c r="N9" s="3"/>
    </row>
    <row r="10" ht="45" customHeight="1" spans="1:14">
      <c r="A10" s="2" t="s">
        <v>41</v>
      </c>
      <c r="B10" s="2" t="s">
        <v>49</v>
      </c>
      <c r="C10" s="2">
        <f>COUNTIFS(数据清洗!$E$2:$E$177,1,数据清洗!$K$2:$K$177,"12次及以上")</f>
        <v>2</v>
      </c>
      <c r="D10" s="2">
        <f>COUNTIFS(数据清洗!$E$2:$E$177,1)</f>
        <v>122</v>
      </c>
      <c r="E10" s="5">
        <f t="shared" si="0"/>
        <v>0.0163934426229508</v>
      </c>
      <c r="F10" s="2" t="s">
        <v>12</v>
      </c>
      <c r="G10" s="3"/>
      <c r="H10" s="3"/>
      <c r="I10" s="3"/>
      <c r="J10" s="3"/>
      <c r="K10" s="3"/>
      <c r="L10" s="3"/>
      <c r="M10" s="3"/>
      <c r="N10" s="3"/>
    </row>
    <row r="11" ht="45" customHeight="1" spans="1:14">
      <c r="A11" s="2" t="s">
        <v>41</v>
      </c>
      <c r="B11" s="2" t="s">
        <v>50</v>
      </c>
      <c r="C11" s="2">
        <f>COUNTIFS(数据清洗!$E$2:$E$177,1,数据清洗!$K$2:$K$177,"买过，但记不清次数")</f>
        <v>1</v>
      </c>
      <c r="D11" s="2">
        <f>COUNTIFS(数据清洗!$E$2:$E$177,1)</f>
        <v>122</v>
      </c>
      <c r="E11" s="5">
        <f t="shared" si="0"/>
        <v>0.00819672131147541</v>
      </c>
      <c r="F11" s="2" t="s">
        <v>12</v>
      </c>
      <c r="G11" s="3"/>
      <c r="H11" s="3"/>
      <c r="I11" s="3"/>
      <c r="J11" s="3"/>
      <c r="K11" s="3"/>
      <c r="L11" s="3"/>
      <c r="M11" s="3"/>
      <c r="N11" s="3"/>
    </row>
    <row r="12" ht="45" customHeight="1" spans="1:14">
      <c r="A12" s="2" t="s">
        <v>51</v>
      </c>
      <c r="B12" s="2" t="s">
        <v>43</v>
      </c>
      <c r="C12" s="2">
        <f>COUNTIFS(数据清洗!$E$2:$E$177,1,数据清洗!$M$2:$M$177,"有")</f>
        <v>58</v>
      </c>
      <c r="D12" s="2">
        <f>COUNTIFS(数据清洗!$E$2:$E$177,1)</f>
        <v>122</v>
      </c>
      <c r="E12" s="5">
        <f t="shared" si="0"/>
        <v>0.475409836065574</v>
      </c>
      <c r="F12" s="2" t="s">
        <v>12</v>
      </c>
      <c r="G12" s="3"/>
      <c r="H12" s="3"/>
      <c r="I12" s="3"/>
      <c r="J12" s="3"/>
      <c r="K12" s="3"/>
      <c r="L12" s="3"/>
      <c r="M12" s="3"/>
      <c r="N12" s="3"/>
    </row>
    <row r="13" ht="45" customHeight="1" spans="1:14">
      <c r="A13" s="2" t="s">
        <v>51</v>
      </c>
      <c r="B13" s="2" t="s">
        <v>45</v>
      </c>
      <c r="C13" s="2">
        <f>COUNTIFS(数据清洗!$E$2:$E$177,1,数据清洗!$M$2:$M$177,"没有")</f>
        <v>43</v>
      </c>
      <c r="D13" s="2">
        <f>COUNTIFS(数据清洗!$E$2:$E$177,1)</f>
        <v>122</v>
      </c>
      <c r="E13" s="5">
        <f t="shared" si="0"/>
        <v>0.352459016393443</v>
      </c>
      <c r="F13" s="2" t="s">
        <v>12</v>
      </c>
      <c r="G13" s="3"/>
      <c r="H13" s="3"/>
      <c r="I13" s="3"/>
      <c r="J13" s="3"/>
      <c r="K13" s="3"/>
      <c r="L13" s="3"/>
      <c r="M13" s="3"/>
      <c r="N13" s="3"/>
    </row>
    <row r="14" ht="45" customHeight="1" spans="1:14">
      <c r="A14" s="2" t="s">
        <v>51</v>
      </c>
      <c r="B14" s="2" t="s">
        <v>47</v>
      </c>
      <c r="C14" s="2">
        <f>COUNTIFS(数据清洗!$E$2:$E$177,1,数据清洗!$M$2:$M$177,"不确定")</f>
        <v>21</v>
      </c>
      <c r="D14" s="2">
        <f>COUNTIFS(数据清洗!$E$2:$E$177,1)</f>
        <v>122</v>
      </c>
      <c r="E14" s="5">
        <f t="shared" si="0"/>
        <v>0.172131147540984</v>
      </c>
      <c r="F14" s="2" t="s">
        <v>12</v>
      </c>
      <c r="G14" s="3"/>
      <c r="H14" s="3"/>
      <c r="I14" s="3"/>
      <c r="J14" s="3"/>
      <c r="K14" s="3"/>
      <c r="L14" s="3"/>
      <c r="M14" s="3"/>
      <c r="N14" s="3"/>
    </row>
    <row r="15" ht="45" customHeight="1" spans="1:14">
      <c r="A15" s="2" t="s">
        <v>52</v>
      </c>
      <c r="B15" s="2" t="s">
        <v>53</v>
      </c>
      <c r="C15" s="2">
        <f>COUNTIFS(数据清洗!$E$2:$E$177,1,数据清洗!$Y$2:$Y$177,1,数据清洗!$Z$2:$Z$177,1)</f>
        <v>45</v>
      </c>
      <c r="D15" s="2">
        <f>COUNTIFS(数据清洗!$E$2:$E$177,1,数据清洗!$Y$2:$Y$177,1)</f>
        <v>93</v>
      </c>
      <c r="E15" s="5">
        <f t="shared" si="0"/>
        <v>0.483870967741935</v>
      </c>
      <c r="F15" s="2" t="s">
        <v>54</v>
      </c>
      <c r="G15" s="3"/>
      <c r="H15" s="3"/>
      <c r="I15" s="3"/>
      <c r="J15" s="3"/>
      <c r="K15" s="3"/>
      <c r="L15" s="3"/>
      <c r="M15" s="3"/>
      <c r="N15" s="3"/>
    </row>
    <row r="16" ht="45" customHeight="1" spans="1:14">
      <c r="A16" s="2" t="s">
        <v>52</v>
      </c>
      <c r="B16" s="2" t="s">
        <v>55</v>
      </c>
      <c r="C16" s="2">
        <f>COUNTIFS(数据清洗!$E$2:$E$177,1,数据清洗!$Y$2:$Y$177,1,数据清洗!$AA$2:$AA$177,1)</f>
        <v>1</v>
      </c>
      <c r="D16" s="2">
        <f>COUNTIFS(数据清洗!$E$2:$E$177,1,数据清洗!$Y$2:$Y$177,1)</f>
        <v>93</v>
      </c>
      <c r="E16" s="5">
        <f t="shared" si="0"/>
        <v>0.010752688172043</v>
      </c>
      <c r="F16" s="2" t="s">
        <v>54</v>
      </c>
      <c r="G16" s="3"/>
      <c r="H16" s="3"/>
      <c r="I16" s="3"/>
      <c r="J16" s="3"/>
      <c r="K16" s="3"/>
      <c r="L16" s="3"/>
      <c r="M16" s="3"/>
      <c r="N16" s="3"/>
    </row>
    <row r="17" ht="45" customHeight="1" spans="1:14">
      <c r="A17" s="2" t="s">
        <v>52</v>
      </c>
      <c r="B17" s="2" t="s">
        <v>56</v>
      </c>
      <c r="C17" s="2">
        <f>COUNTIFS(数据清洗!$E$2:$E$177,1,数据清洗!$Y$2:$Y$177,1,数据清洗!$AB$2:$AB$177,1)</f>
        <v>38</v>
      </c>
      <c r="D17" s="2">
        <f>COUNTIFS(数据清洗!$E$2:$E$177,1,数据清洗!$Y$2:$Y$177,1)</f>
        <v>93</v>
      </c>
      <c r="E17" s="5">
        <f t="shared" si="0"/>
        <v>0.408602150537634</v>
      </c>
      <c r="F17" s="2" t="s">
        <v>54</v>
      </c>
      <c r="G17" s="3"/>
      <c r="H17" s="3"/>
      <c r="I17" s="3"/>
      <c r="J17" s="3"/>
      <c r="K17" s="3"/>
      <c r="L17" s="3"/>
      <c r="M17" s="3"/>
      <c r="N17" s="3"/>
    </row>
    <row r="18" ht="45" customHeight="1" spans="1:14">
      <c r="A18" s="2" t="s">
        <v>52</v>
      </c>
      <c r="B18" s="2" t="s">
        <v>57</v>
      </c>
      <c r="C18" s="2">
        <f>COUNTIFS(数据清洗!$E$2:$E$177,1,数据清洗!$Y$2:$Y$177,1,数据清洗!$AC$2:$AC$177,1)</f>
        <v>36</v>
      </c>
      <c r="D18" s="2">
        <f>COUNTIFS(数据清洗!$E$2:$E$177,1,数据清洗!$Y$2:$Y$177,1)</f>
        <v>93</v>
      </c>
      <c r="E18" s="5">
        <f t="shared" si="0"/>
        <v>0.387096774193548</v>
      </c>
      <c r="F18" s="2" t="s">
        <v>54</v>
      </c>
      <c r="G18" s="3"/>
      <c r="H18" s="3"/>
      <c r="I18" s="3"/>
      <c r="J18" s="3"/>
      <c r="K18" s="3"/>
      <c r="L18" s="3"/>
      <c r="M18" s="3"/>
      <c r="N18" s="3"/>
    </row>
    <row r="19" ht="45" customHeight="1" spans="1:14">
      <c r="A19" s="2" t="s">
        <v>52</v>
      </c>
      <c r="B19" s="2" t="s">
        <v>58</v>
      </c>
      <c r="C19" s="2">
        <f>COUNTIFS(数据清洗!$E$2:$E$177,1,数据清洗!$Y$2:$Y$177,1,数据清洗!$AD$2:$AD$177,1)</f>
        <v>55</v>
      </c>
      <c r="D19" s="2">
        <f>COUNTIFS(数据清洗!$E$2:$E$177,1,数据清洗!$Y$2:$Y$177,1)</f>
        <v>93</v>
      </c>
      <c r="E19" s="5">
        <f t="shared" si="0"/>
        <v>0.591397849462366</v>
      </c>
      <c r="F19" s="2" t="s">
        <v>54</v>
      </c>
      <c r="G19" s="3"/>
      <c r="H19" s="3"/>
      <c r="I19" s="3"/>
      <c r="J19" s="3"/>
      <c r="K19" s="3"/>
      <c r="L19" s="3"/>
      <c r="M19" s="3"/>
      <c r="N19" s="3"/>
    </row>
    <row r="20" ht="45" customHeight="1" spans="1:14">
      <c r="A20" s="2" t="s">
        <v>52</v>
      </c>
      <c r="B20" s="2" t="s">
        <v>59</v>
      </c>
      <c r="C20" s="2">
        <f>COUNTIFS(数据清洗!$E$2:$E$177,1,数据清洗!$Y$2:$Y$177,1,数据清洗!$AE$2:$AE$177,1)</f>
        <v>30</v>
      </c>
      <c r="D20" s="2">
        <f>COUNTIFS(数据清洗!$E$2:$E$177,1,数据清洗!$Y$2:$Y$177,1)</f>
        <v>93</v>
      </c>
      <c r="E20" s="5">
        <f t="shared" si="0"/>
        <v>0.32258064516129</v>
      </c>
      <c r="F20" s="2" t="s">
        <v>54</v>
      </c>
      <c r="G20" s="3"/>
      <c r="H20" s="3"/>
      <c r="I20" s="3"/>
      <c r="J20" s="3"/>
      <c r="K20" s="3"/>
      <c r="L20" s="3"/>
      <c r="M20" s="3"/>
      <c r="N20" s="3"/>
    </row>
    <row r="21" ht="45" customHeight="1" spans="1:14">
      <c r="A21" s="2" t="s">
        <v>52</v>
      </c>
      <c r="B21" s="2" t="s">
        <v>60</v>
      </c>
      <c r="C21" s="2">
        <f>COUNTIFS(数据清洗!$E$2:$E$177,1,数据清洗!$Y$2:$Y$177,1,数据清洗!$AF$2:$AF$177,1)</f>
        <v>0</v>
      </c>
      <c r="D21" s="2">
        <f>COUNTIFS(数据清洗!$E$2:$E$177,1,数据清洗!$Y$2:$Y$177,1)</f>
        <v>93</v>
      </c>
      <c r="E21" s="5">
        <f t="shared" si="0"/>
        <v>0</v>
      </c>
      <c r="F21" s="2" t="s">
        <v>54</v>
      </c>
      <c r="G21" s="3"/>
      <c r="H21" s="3"/>
      <c r="I21" s="3"/>
      <c r="J21" s="3"/>
      <c r="K21" s="3"/>
      <c r="L21" s="3"/>
      <c r="M21" s="3"/>
      <c r="N21" s="3"/>
    </row>
    <row r="22" ht="45" customHeight="1" spans="1:14">
      <c r="A22" s="2" t="s">
        <v>61</v>
      </c>
      <c r="B22" s="2" t="s">
        <v>62</v>
      </c>
      <c r="C22" s="2">
        <f>COUNTIFS(数据清洗!$E$2:$E$177,1,数据清洗!$AG$2:$AG$177,1,数据清洗!$AH$2:$AH$177,1)</f>
        <v>41</v>
      </c>
      <c r="D22" s="2">
        <f>COUNTIFS(数据清洗!$E$2:$E$177,1,数据清洗!$AG$2:$AG$177,1)</f>
        <v>93</v>
      </c>
      <c r="E22" s="5">
        <f t="shared" si="0"/>
        <v>0.440860215053763</v>
      </c>
      <c r="F22" s="2" t="s">
        <v>63</v>
      </c>
      <c r="G22" s="3"/>
      <c r="H22" s="3"/>
      <c r="I22" s="3"/>
      <c r="J22" s="3"/>
      <c r="K22" s="3"/>
      <c r="L22" s="3"/>
      <c r="M22" s="3"/>
      <c r="N22" s="3"/>
    </row>
    <row r="23" ht="45" customHeight="1" spans="1:14">
      <c r="A23" s="2" t="s">
        <v>61</v>
      </c>
      <c r="B23" s="2" t="s">
        <v>64</v>
      </c>
      <c r="C23" s="2">
        <f>COUNTIFS(数据清洗!$E$2:$E$177,1,数据清洗!$AG$2:$AG$177,1,数据清洗!$AI$2:$AI$177,1)</f>
        <v>38</v>
      </c>
      <c r="D23" s="2">
        <f>COUNTIFS(数据清洗!$E$2:$E$177,1,数据清洗!$AG$2:$AG$177,1)</f>
        <v>93</v>
      </c>
      <c r="E23" s="5">
        <f t="shared" si="0"/>
        <v>0.408602150537634</v>
      </c>
      <c r="F23" s="2" t="s">
        <v>63</v>
      </c>
      <c r="G23" s="3"/>
      <c r="H23" s="3"/>
      <c r="I23" s="3"/>
      <c r="J23" s="3"/>
      <c r="K23" s="3"/>
      <c r="L23" s="3"/>
      <c r="M23" s="3"/>
      <c r="N23" s="3"/>
    </row>
    <row r="24" ht="45" customHeight="1" spans="1:14">
      <c r="A24" s="2" t="s">
        <v>61</v>
      </c>
      <c r="B24" s="2" t="s">
        <v>65</v>
      </c>
      <c r="C24" s="2">
        <f>COUNTIFS(数据清洗!$E$2:$E$177,1,数据清洗!$AG$2:$AG$177,1,数据清洗!$AJ$2:$AJ$177,1)</f>
        <v>18</v>
      </c>
      <c r="D24" s="2">
        <f>COUNTIFS(数据清洗!$E$2:$E$177,1,数据清洗!$AG$2:$AG$177,1)</f>
        <v>93</v>
      </c>
      <c r="E24" s="5">
        <f t="shared" si="0"/>
        <v>0.193548387096774</v>
      </c>
      <c r="F24" s="2" t="s">
        <v>63</v>
      </c>
      <c r="G24" s="3"/>
      <c r="H24" s="3"/>
      <c r="I24" s="3"/>
      <c r="J24" s="3"/>
      <c r="K24" s="3"/>
      <c r="L24" s="3"/>
      <c r="M24" s="3"/>
      <c r="N24" s="3"/>
    </row>
    <row r="25" ht="45" customHeight="1" spans="1:14">
      <c r="A25" s="2" t="s">
        <v>61</v>
      </c>
      <c r="B25" s="2" t="s">
        <v>66</v>
      </c>
      <c r="C25" s="2">
        <f>COUNTIFS(数据清洗!$E$2:$E$177,1,数据清洗!$AG$2:$AG$177,1,数据清洗!$AK$2:$AK$177,1)</f>
        <v>44</v>
      </c>
      <c r="D25" s="2">
        <f>COUNTIFS(数据清洗!$E$2:$E$177,1,数据清洗!$AG$2:$AG$177,1)</f>
        <v>93</v>
      </c>
      <c r="E25" s="5">
        <f t="shared" si="0"/>
        <v>0.473118279569892</v>
      </c>
      <c r="F25" s="2" t="s">
        <v>63</v>
      </c>
      <c r="G25" s="3"/>
      <c r="H25" s="3"/>
      <c r="I25" s="3"/>
      <c r="J25" s="3"/>
      <c r="K25" s="3"/>
      <c r="L25" s="3"/>
      <c r="M25" s="3"/>
      <c r="N25" s="3"/>
    </row>
    <row r="26" ht="45" customHeight="1" spans="1:14">
      <c r="A26" s="2" t="s">
        <v>61</v>
      </c>
      <c r="B26" s="2" t="s">
        <v>55</v>
      </c>
      <c r="C26" s="2">
        <f>COUNTIFS(数据清洗!$E$2:$E$177,1,数据清洗!$AG$2:$AG$177,1,数据清洗!$AL$2:$AL$177,1)</f>
        <v>3</v>
      </c>
      <c r="D26" s="2">
        <f>COUNTIFS(数据清洗!$E$2:$E$177,1,数据清洗!$AG$2:$AG$177,1)</f>
        <v>93</v>
      </c>
      <c r="E26" s="5">
        <f t="shared" si="0"/>
        <v>0.032258064516129</v>
      </c>
      <c r="F26" s="2" t="s">
        <v>63</v>
      </c>
      <c r="G26" s="3"/>
      <c r="H26" s="3"/>
      <c r="I26" s="3"/>
      <c r="J26" s="3"/>
      <c r="K26" s="3"/>
      <c r="L26" s="3"/>
      <c r="M26" s="3"/>
      <c r="N26" s="3"/>
    </row>
    <row r="27" ht="45" customHeight="1" spans="1:14">
      <c r="A27" s="2" t="s">
        <v>61</v>
      </c>
      <c r="B27" s="2" t="s">
        <v>67</v>
      </c>
      <c r="C27" s="2">
        <f>COUNTIFS(数据清洗!$E$2:$E$177,1,数据清洗!$AG$2:$AG$177,1,数据清洗!$AM$2:$AM$177,1)</f>
        <v>26</v>
      </c>
      <c r="D27" s="2">
        <f>COUNTIFS(数据清洗!$E$2:$E$177,1,数据清洗!$AG$2:$AG$177,1)</f>
        <v>93</v>
      </c>
      <c r="E27" s="5">
        <f t="shared" si="0"/>
        <v>0.279569892473118</v>
      </c>
      <c r="F27" s="2" t="s">
        <v>63</v>
      </c>
      <c r="G27" s="3"/>
      <c r="H27" s="3"/>
      <c r="I27" s="3"/>
      <c r="J27" s="3"/>
      <c r="K27" s="3"/>
      <c r="L27" s="3"/>
      <c r="M27" s="3"/>
      <c r="N27" s="3"/>
    </row>
    <row r="28" ht="45" customHeight="1" spans="1:14">
      <c r="A28" s="2" t="s">
        <v>61</v>
      </c>
      <c r="B28" s="2" t="s">
        <v>68</v>
      </c>
      <c r="C28" s="2">
        <f>COUNTIFS(数据清洗!$E$2:$E$177,1,数据清洗!$AG$2:$AG$177,1,数据清洗!$AN$2:$AN$177,1)</f>
        <v>18</v>
      </c>
      <c r="D28" s="2">
        <f>COUNTIFS(数据清洗!$E$2:$E$177,1,数据清洗!$AG$2:$AG$177,1)</f>
        <v>93</v>
      </c>
      <c r="E28" s="5">
        <f t="shared" si="0"/>
        <v>0.193548387096774</v>
      </c>
      <c r="F28" s="2" t="s">
        <v>63</v>
      </c>
      <c r="G28" s="3"/>
      <c r="H28" s="3"/>
      <c r="I28" s="3" t="s">
        <v>5</v>
      </c>
      <c r="J28" s="3" t="s">
        <v>3</v>
      </c>
      <c r="K28" s="3"/>
      <c r="L28" s="3"/>
      <c r="M28" s="3"/>
      <c r="N28" s="3"/>
    </row>
    <row r="29" ht="45" customHeight="1" spans="1:14">
      <c r="A29" s="2" t="s">
        <v>61</v>
      </c>
      <c r="B29" s="2" t="s">
        <v>60</v>
      </c>
      <c r="C29" s="2">
        <f>COUNTIFS(数据清洗!$E$2:$E$177,1,数据清洗!$AG$2:$AG$177,1,数据清洗!$AO$2:$AO$177,1)</f>
        <v>0</v>
      </c>
      <c r="D29" s="2">
        <f>COUNTIFS(数据清洗!$E$2:$E$177,1,数据清洗!$AG$2:$AG$177,1)</f>
        <v>93</v>
      </c>
      <c r="E29" s="5">
        <f t="shared" si="0"/>
        <v>0</v>
      </c>
      <c r="F29" s="2" t="s">
        <v>63</v>
      </c>
      <c r="G29" s="3"/>
      <c r="H29" s="3"/>
      <c r="I29" s="3" t="s">
        <v>69</v>
      </c>
      <c r="J29" s="3">
        <f>购买及闲置行为!C34</f>
        <v>31</v>
      </c>
      <c r="K29" s="3"/>
      <c r="L29" s="3"/>
      <c r="M29" s="3"/>
      <c r="N29" s="3"/>
    </row>
    <row r="30" ht="45" customHeight="1" spans="1:14">
      <c r="A30" s="2" t="s">
        <v>61</v>
      </c>
      <c r="B30" s="2" t="s">
        <v>70</v>
      </c>
      <c r="C30" s="2">
        <f>COUNTIFS(数据清洗!$E$2:$E$177,1,数据清洗!$AG$2:$AG$177,1,数据清洗!$AP$2:$AP$177,1)</f>
        <v>49</v>
      </c>
      <c r="D30" s="2">
        <f>COUNTIFS(数据清洗!$E$2:$E$177,1,数据清洗!$AG$2:$AG$177,1)</f>
        <v>93</v>
      </c>
      <c r="E30" s="5">
        <f t="shared" si="0"/>
        <v>0.526881720430108</v>
      </c>
      <c r="F30" s="2" t="s">
        <v>63</v>
      </c>
      <c r="G30" s="3"/>
      <c r="H30" s="3"/>
      <c r="I30" s="3" t="s">
        <v>71</v>
      </c>
      <c r="J30" s="3">
        <f>购买及闲置行为!C33</f>
        <v>26</v>
      </c>
      <c r="K30" s="3"/>
      <c r="L30" s="3"/>
      <c r="M30" s="3"/>
      <c r="N30" s="3"/>
    </row>
    <row r="31" ht="45" customHeight="1" spans="1:14">
      <c r="A31" s="2" t="s">
        <v>72</v>
      </c>
      <c r="B31" s="2" t="s">
        <v>73</v>
      </c>
      <c r="C31" s="2">
        <f>COUNTIFS(数据清洗!$E$2:$E$177,1,数据清洗!$AQ$2:$AQ$177,1,数据清洗!$AR$2:$AR$177,1)</f>
        <v>5</v>
      </c>
      <c r="D31" s="2">
        <f>COUNTIFS(数据清洗!$E$2:$E$177,1,数据清洗!$AQ$2:$AQ$177,1)</f>
        <v>49</v>
      </c>
      <c r="E31" s="5">
        <f t="shared" si="0"/>
        <v>0.102040816326531</v>
      </c>
      <c r="F31" s="2" t="s">
        <v>74</v>
      </c>
      <c r="G31" s="3"/>
      <c r="H31" s="3"/>
      <c r="I31" s="3" t="s">
        <v>75</v>
      </c>
      <c r="J31" s="3">
        <f>购买及闲置行为!C35</f>
        <v>18</v>
      </c>
      <c r="K31" s="3"/>
      <c r="L31" s="3"/>
      <c r="M31" s="3"/>
      <c r="N31" s="3"/>
    </row>
    <row r="32" ht="45" customHeight="1" spans="1:14">
      <c r="A32" s="2" t="s">
        <v>72</v>
      </c>
      <c r="B32" s="2" t="s">
        <v>55</v>
      </c>
      <c r="C32" s="2">
        <f>COUNTIFS(数据清洗!$E$2:$E$177,1,数据清洗!$AQ$2:$AQ$177,1,数据清洗!$AS$2:$AS$177,1)</f>
        <v>0</v>
      </c>
      <c r="D32" s="2">
        <f>COUNTIFS(数据清洗!$E$2:$E$177,1,数据清洗!$AQ$2:$AQ$177,1)</f>
        <v>49</v>
      </c>
      <c r="E32" s="5">
        <f t="shared" si="0"/>
        <v>0</v>
      </c>
      <c r="F32" s="2" t="s">
        <v>74</v>
      </c>
      <c r="G32" s="3"/>
      <c r="H32" s="3"/>
      <c r="I32" s="3" t="s">
        <v>76</v>
      </c>
      <c r="J32" s="3">
        <f>购买及闲置行为!C36</f>
        <v>11</v>
      </c>
      <c r="K32" s="3"/>
      <c r="L32" s="3"/>
      <c r="M32" s="3"/>
      <c r="N32" s="3"/>
    </row>
    <row r="33" ht="45" customHeight="1" spans="1:14">
      <c r="A33" s="2" t="s">
        <v>72</v>
      </c>
      <c r="B33" s="2" t="s">
        <v>77</v>
      </c>
      <c r="C33" s="2">
        <f>COUNTIFS(数据清洗!$E$2:$E$177,1,数据清洗!$AQ$2:$AQ$177,1,数据清洗!$AT$2:$AT$177,1)</f>
        <v>26</v>
      </c>
      <c r="D33" s="2">
        <f>COUNTIFS(数据清洗!$E$2:$E$177,1,数据清洗!$AQ$2:$AQ$177,1)</f>
        <v>49</v>
      </c>
      <c r="E33" s="5">
        <f t="shared" si="0"/>
        <v>0.530612244897959</v>
      </c>
      <c r="F33" s="2" t="s">
        <v>74</v>
      </c>
      <c r="G33" s="3"/>
      <c r="H33" s="3"/>
      <c r="I33" s="3" t="s">
        <v>73</v>
      </c>
      <c r="J33" s="3">
        <f>购买及闲置行为!C31</f>
        <v>5</v>
      </c>
      <c r="K33" s="3"/>
      <c r="L33" s="3"/>
      <c r="M33" s="3"/>
      <c r="N33" s="3"/>
    </row>
    <row r="34" ht="45" customHeight="1" spans="1:14">
      <c r="A34" s="2" t="s">
        <v>72</v>
      </c>
      <c r="B34" s="2" t="s">
        <v>78</v>
      </c>
      <c r="C34" s="2">
        <f>COUNTIFS(数据清洗!$E$2:$E$177,1,数据清洗!$AQ$2:$AQ$177,1,数据清洗!$AU$2:$AU$177,1)</f>
        <v>31</v>
      </c>
      <c r="D34" s="2">
        <f>COUNTIFS(数据清洗!$E$2:$E$177,1,数据清洗!$AQ$2:$AQ$177,1)</f>
        <v>49</v>
      </c>
      <c r="E34" s="5">
        <f t="shared" si="0"/>
        <v>0.63265306122449</v>
      </c>
      <c r="F34" s="2" t="s">
        <v>74</v>
      </c>
      <c r="G34" s="3"/>
      <c r="H34" s="3"/>
      <c r="I34" s="3"/>
      <c r="J34" s="3"/>
      <c r="K34" s="3"/>
      <c r="L34" s="3"/>
      <c r="M34" s="3"/>
      <c r="N34" s="3"/>
    </row>
    <row r="35" ht="45" customHeight="1" spans="1:14">
      <c r="A35" s="2" t="s">
        <v>72</v>
      </c>
      <c r="B35" s="2" t="s">
        <v>79</v>
      </c>
      <c r="C35" s="2">
        <f>COUNTIFS(数据清洗!$E$2:$E$177,1,数据清洗!$AQ$2:$AQ$177,1,数据清洗!$AV$2:$AV$177,1)</f>
        <v>18</v>
      </c>
      <c r="D35" s="2">
        <f>COUNTIFS(数据清洗!$E$2:$E$177,1,数据清洗!$AQ$2:$AQ$177,1)</f>
        <v>49</v>
      </c>
      <c r="E35" s="5">
        <f t="shared" si="0"/>
        <v>0.36734693877551</v>
      </c>
      <c r="F35" s="2" t="s">
        <v>74</v>
      </c>
      <c r="G35" s="3"/>
      <c r="H35" s="3"/>
      <c r="I35" s="3"/>
      <c r="J35" s="3"/>
      <c r="K35" s="3"/>
      <c r="L35" s="3"/>
      <c r="M35" s="3"/>
      <c r="N35" s="3"/>
    </row>
    <row r="36" ht="45" customHeight="1" spans="1:14">
      <c r="A36" s="2" t="s">
        <v>72</v>
      </c>
      <c r="B36" s="2" t="s">
        <v>76</v>
      </c>
      <c r="C36" s="2">
        <f>COUNTIFS(数据清洗!$E$2:$E$177,1,数据清洗!$AQ$2:$AQ$177,1,数据清洗!$AW$2:$AW$177,1)</f>
        <v>11</v>
      </c>
      <c r="D36" s="2">
        <f>COUNTIFS(数据清洗!$E$2:$E$177,1,数据清洗!$AQ$2:$AQ$177,1)</f>
        <v>49</v>
      </c>
      <c r="E36" s="5">
        <f t="shared" si="0"/>
        <v>0.224489795918367</v>
      </c>
      <c r="F36" s="2" t="s">
        <v>74</v>
      </c>
      <c r="G36" s="3"/>
      <c r="H36" s="3"/>
      <c r="I36" s="3"/>
      <c r="J36" s="3"/>
      <c r="K36" s="3"/>
      <c r="L36" s="3"/>
      <c r="M36" s="3"/>
      <c r="N36" s="3"/>
    </row>
    <row r="37" ht="25" customHeight="1" spans="1:14">
      <c r="A37" s="3"/>
      <c r="B37" s="3"/>
      <c r="C37" s="3"/>
      <c r="D37" s="3"/>
      <c r="E37" s="6"/>
      <c r="F37" s="3"/>
      <c r="G37" s="3"/>
      <c r="H37" s="3"/>
      <c r="I37" s="3"/>
      <c r="J37" s="3"/>
      <c r="K37" s="3"/>
      <c r="L37" s="3"/>
      <c r="M37" s="3"/>
      <c r="N37" s="3"/>
    </row>
    <row r="38" ht="25" customHeight="1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25" customHeight="1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25" customHeight="1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25" customHeight="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25" customHeight="1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25" customHeight="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25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25" customHeight="1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25" customHeight="1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25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25" customHeight="1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25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25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5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25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25" customHeight="1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25" customHeight="1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25" customHeight="1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25" customHeight="1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25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25" customHeight="1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25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25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5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25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25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25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2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25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25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5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25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25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25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25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5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25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2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25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25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25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5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25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25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25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25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25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2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25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25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25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25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25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5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25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25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25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2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25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25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25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25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25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25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25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25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25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2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25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25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25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25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25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25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25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25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25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2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25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25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25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25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25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25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25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25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25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25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25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25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25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25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25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25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5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25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2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25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25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25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5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25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25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25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25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25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2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25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25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25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25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25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25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25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25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25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2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25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25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25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25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25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25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25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25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25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2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25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25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25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25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25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25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25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25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25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2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25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25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25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25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25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25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25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25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25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25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5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25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25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25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25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25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25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25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2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25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25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25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25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25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25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25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25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25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2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25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25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25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25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25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25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25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25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25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2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25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25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25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5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25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25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25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25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25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25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25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25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25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25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25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25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25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25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2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25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25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25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25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25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25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25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25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25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2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25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25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25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25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25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25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25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25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25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2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25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25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25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25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25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</sheetData>
  <mergeCells count="2">
    <mergeCell ref="A1:G1"/>
    <mergeCell ref="A2:G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workbookViewId="0">
      <pane ySplit="5" topLeftCell="A33" activePane="bottomLeft" state="frozen"/>
      <selection/>
      <selection pane="bottomLeft" activeCell="A1" sqref="A1:G1"/>
    </sheetView>
  </sheetViews>
  <sheetFormatPr defaultColWidth="9" defaultRowHeight="14"/>
  <cols>
    <col min="1" max="1" width="18" customWidth="1"/>
    <col min="2" max="2" width="46" customWidth="1"/>
    <col min="3" max="5" width="14" customWidth="1"/>
    <col min="6" max="6" width="54" customWidth="1"/>
    <col min="7" max="14" width="16" customWidth="1"/>
  </cols>
  <sheetData>
    <row r="1" ht="32" customHeight="1" spans="1:14">
      <c r="A1" s="4" t="s">
        <v>80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</row>
    <row r="2" ht="42" customHeight="1" spans="1:14">
      <c r="A2" s="2" t="s">
        <v>81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5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32" customHeight="1" spans="1:14">
      <c r="A5" s="1" t="s">
        <v>16</v>
      </c>
      <c r="B5" s="1" t="s">
        <v>5</v>
      </c>
      <c r="C5" s="1" t="s">
        <v>17</v>
      </c>
      <c r="D5" s="1" t="s">
        <v>18</v>
      </c>
      <c r="E5" s="1" t="s">
        <v>19</v>
      </c>
      <c r="F5" s="1" t="s">
        <v>20</v>
      </c>
      <c r="G5" s="3"/>
      <c r="H5" s="3"/>
      <c r="I5" s="3" t="s">
        <v>5</v>
      </c>
      <c r="J5" s="3" t="s">
        <v>3</v>
      </c>
      <c r="K5" s="3"/>
      <c r="L5" s="3"/>
      <c r="M5" s="3"/>
      <c r="N5" s="3"/>
    </row>
    <row r="6" ht="45" customHeight="1" spans="1:14">
      <c r="A6" s="2" t="s">
        <v>82</v>
      </c>
      <c r="B6" s="2" t="s">
        <v>83</v>
      </c>
      <c r="C6" s="2">
        <f>COUNTIFS(数据清洗!$E$2:$E$177,1,数据清洗!$X$2:$X$177,"交换尝试记录")</f>
        <v>40</v>
      </c>
      <c r="D6" s="2">
        <f>COUNTIFS(数据清洗!$E$2:$E$177,1)</f>
        <v>122</v>
      </c>
      <c r="E6" s="5">
        <f t="shared" ref="E6:E41" si="0">IF(D6=0,"",C6/D6)</f>
        <v>0.327868852459016</v>
      </c>
      <c r="F6" s="2" t="s">
        <v>12</v>
      </c>
      <c r="G6" s="3"/>
      <c r="H6" s="3"/>
      <c r="I6" s="3" t="s">
        <v>84</v>
      </c>
      <c r="J6" s="3">
        <f>交易痛点!C7</f>
        <v>28</v>
      </c>
      <c r="K6" s="3"/>
      <c r="L6" s="3"/>
      <c r="M6" s="3"/>
      <c r="N6" s="3"/>
    </row>
    <row r="7" ht="45" customHeight="1" spans="1:14">
      <c r="A7" s="2" t="s">
        <v>82</v>
      </c>
      <c r="B7" s="2" t="s">
        <v>84</v>
      </c>
      <c r="C7" s="2">
        <f>COUNTIFS(数据清洗!$E$2:$E$177,1,数据清洗!$X$2:$X$177,"出售尝试记录")</f>
        <v>28</v>
      </c>
      <c r="D7" s="2">
        <f>COUNTIFS(数据清洗!$E$2:$E$177,1)</f>
        <v>122</v>
      </c>
      <c r="E7" s="5">
        <f t="shared" si="0"/>
        <v>0.229508196721311</v>
      </c>
      <c r="F7" s="2" t="s">
        <v>12</v>
      </c>
      <c r="G7" s="3"/>
      <c r="H7" s="3"/>
      <c r="I7" s="3" t="s">
        <v>83</v>
      </c>
      <c r="J7" s="3">
        <f>交易痛点!C6</f>
        <v>40</v>
      </c>
      <c r="K7" s="3"/>
      <c r="L7" s="3"/>
      <c r="M7" s="3"/>
      <c r="N7" s="3"/>
    </row>
    <row r="8" ht="45" customHeight="1" spans="1:14">
      <c r="A8" s="2" t="s">
        <v>82</v>
      </c>
      <c r="B8" s="2" t="s">
        <v>85</v>
      </c>
      <c r="C8" s="2">
        <f>COUNTIFS(数据清洗!$E$2:$E$177,1,数据清洗!$X$2:$X$177,"无法判断")</f>
        <v>13</v>
      </c>
      <c r="D8" s="2">
        <f>COUNTIFS(数据清洗!$E$2:$E$177,1)</f>
        <v>122</v>
      </c>
      <c r="E8" s="5">
        <f t="shared" si="0"/>
        <v>0.10655737704918</v>
      </c>
      <c r="F8" s="2" t="s">
        <v>12</v>
      </c>
      <c r="G8" s="3"/>
      <c r="H8" s="3"/>
      <c r="I8" s="3" t="s">
        <v>86</v>
      </c>
      <c r="J8" s="3">
        <f>交易痛点!C9</f>
        <v>41</v>
      </c>
      <c r="K8" s="3"/>
      <c r="L8" s="3"/>
      <c r="M8" s="3"/>
      <c r="N8" s="3"/>
    </row>
    <row r="9" ht="45" customHeight="1" spans="1:14">
      <c r="A9" s="2" t="s">
        <v>82</v>
      </c>
      <c r="B9" s="2" t="s">
        <v>86</v>
      </c>
      <c r="C9" s="2">
        <f>COUNTIFS(数据清洗!$E$2:$E$177,1,数据清洗!$X$2:$X$177,"明确均未尝试")</f>
        <v>41</v>
      </c>
      <c r="D9" s="2">
        <f>COUNTIFS(数据清洗!$E$2:$E$177,1)</f>
        <v>122</v>
      </c>
      <c r="E9" s="5">
        <f t="shared" si="0"/>
        <v>0.336065573770492</v>
      </c>
      <c r="F9" s="2" t="s">
        <v>12</v>
      </c>
      <c r="G9" s="3"/>
      <c r="H9" s="3"/>
      <c r="I9" s="3" t="s">
        <v>85</v>
      </c>
      <c r="J9" s="3">
        <f>交易痛点!C8</f>
        <v>13</v>
      </c>
      <c r="K9" s="3"/>
      <c r="L9" s="3"/>
      <c r="M9" s="3"/>
      <c r="N9" s="3"/>
    </row>
    <row r="10" ht="45" customHeight="1" spans="1:14">
      <c r="A10" s="2" t="s">
        <v>87</v>
      </c>
      <c r="B10" s="2" t="s">
        <v>62</v>
      </c>
      <c r="C10" s="2">
        <f>COUNTIFS(数据清洗!$E$2:$E$177,1,数据清洗!$AX$2:$AX$177,1,数据清洗!$AY$2:$AY$177,1)</f>
        <v>32</v>
      </c>
      <c r="D10" s="2">
        <f>COUNTIFS(数据清洗!$E$2:$E$177,1,数据清洗!$AX$2:$AX$177,1)</f>
        <v>68</v>
      </c>
      <c r="E10" s="5">
        <f t="shared" si="0"/>
        <v>0.470588235294118</v>
      </c>
      <c r="F10" s="2" t="s">
        <v>88</v>
      </c>
      <c r="G10" s="3"/>
      <c r="H10" s="3"/>
      <c r="I10" s="3"/>
      <c r="J10" s="3"/>
      <c r="K10" s="3"/>
      <c r="L10" s="3"/>
      <c r="M10" s="3"/>
      <c r="N10" s="3"/>
    </row>
    <row r="11" ht="45" customHeight="1" spans="1:14">
      <c r="A11" s="2" t="s">
        <v>87</v>
      </c>
      <c r="B11" s="2" t="s">
        <v>89</v>
      </c>
      <c r="C11" s="2">
        <f>COUNTIFS(数据清洗!$E$2:$E$177,1,数据清洗!$AX$2:$AX$177,1,数据清洗!$AZ$2:$AZ$177,1)</f>
        <v>36</v>
      </c>
      <c r="D11" s="2">
        <f>COUNTIFS(数据清洗!$E$2:$E$177,1,数据清洗!$AX$2:$AX$177,1)</f>
        <v>68</v>
      </c>
      <c r="E11" s="5">
        <f t="shared" si="0"/>
        <v>0.529411764705882</v>
      </c>
      <c r="F11" s="2" t="s">
        <v>88</v>
      </c>
      <c r="G11" s="3"/>
      <c r="H11" s="3"/>
      <c r="I11" s="3"/>
      <c r="J11" s="3"/>
      <c r="K11" s="3"/>
      <c r="L11" s="3"/>
      <c r="M11" s="3"/>
      <c r="N11" s="3"/>
    </row>
    <row r="12" ht="45" customHeight="1" spans="1:14">
      <c r="A12" s="2" t="s">
        <v>87</v>
      </c>
      <c r="B12" s="2" t="s">
        <v>65</v>
      </c>
      <c r="C12" s="2">
        <f>COUNTIFS(数据清洗!$E$2:$E$177,1,数据清洗!$AX$2:$AX$177,1,数据清洗!$BA$2:$BA$177,1)</f>
        <v>13</v>
      </c>
      <c r="D12" s="2">
        <f>COUNTIFS(数据清洗!$E$2:$E$177,1,数据清洗!$AX$2:$AX$177,1)</f>
        <v>68</v>
      </c>
      <c r="E12" s="5">
        <f t="shared" si="0"/>
        <v>0.191176470588235</v>
      </c>
      <c r="F12" s="2" t="s">
        <v>88</v>
      </c>
      <c r="G12" s="3"/>
      <c r="H12" s="3"/>
      <c r="I12" s="3"/>
      <c r="J12" s="3"/>
      <c r="K12" s="3"/>
      <c r="L12" s="3"/>
      <c r="M12" s="3"/>
      <c r="N12" s="3"/>
    </row>
    <row r="13" ht="45" customHeight="1" spans="1:14">
      <c r="A13" s="2" t="s">
        <v>87</v>
      </c>
      <c r="B13" s="2" t="s">
        <v>55</v>
      </c>
      <c r="C13" s="2">
        <f>COUNTIFS(数据清洗!$E$2:$E$177,1,数据清洗!$AX$2:$AX$177,1,数据清洗!$BB$2:$BB$177,1)</f>
        <v>0</v>
      </c>
      <c r="D13" s="2">
        <f>COUNTIFS(数据清洗!$E$2:$E$177,1,数据清洗!$AX$2:$AX$177,1)</f>
        <v>68</v>
      </c>
      <c r="E13" s="5">
        <f t="shared" si="0"/>
        <v>0</v>
      </c>
      <c r="F13" s="2" t="s">
        <v>88</v>
      </c>
      <c r="G13" s="3"/>
      <c r="H13" s="3"/>
      <c r="I13" s="3"/>
      <c r="J13" s="3"/>
      <c r="K13" s="3"/>
      <c r="L13" s="3"/>
      <c r="M13" s="3"/>
      <c r="N13" s="3"/>
    </row>
    <row r="14" ht="45" customHeight="1" spans="1:14">
      <c r="A14" s="2" t="s">
        <v>87</v>
      </c>
      <c r="B14" s="2" t="s">
        <v>67</v>
      </c>
      <c r="C14" s="2">
        <f>COUNTIFS(数据清洗!$E$2:$E$177,1,数据清洗!$AX$2:$AX$177,1,数据清洗!$BC$2:$BC$177,1)</f>
        <v>28</v>
      </c>
      <c r="D14" s="2">
        <f>COUNTIFS(数据清洗!$E$2:$E$177,1,数据清洗!$AX$2:$AX$177,1)</f>
        <v>68</v>
      </c>
      <c r="E14" s="5">
        <f t="shared" si="0"/>
        <v>0.411764705882353</v>
      </c>
      <c r="F14" s="2" t="s">
        <v>88</v>
      </c>
      <c r="G14" s="3"/>
      <c r="H14" s="3"/>
      <c r="I14" s="3"/>
      <c r="J14" s="3"/>
      <c r="K14" s="3"/>
      <c r="L14" s="3"/>
      <c r="M14" s="3"/>
      <c r="N14" s="3"/>
    </row>
    <row r="15" ht="45" customHeight="1" spans="1:14">
      <c r="A15" s="2" t="s">
        <v>87</v>
      </c>
      <c r="B15" s="2" t="s">
        <v>68</v>
      </c>
      <c r="C15" s="2">
        <f>COUNTIFS(数据清洗!$E$2:$E$177,1,数据清洗!$AX$2:$AX$177,1,数据清洗!$BD$2:$BD$177,1)</f>
        <v>17</v>
      </c>
      <c r="D15" s="2">
        <f>COUNTIFS(数据清洗!$E$2:$E$177,1,数据清洗!$AX$2:$AX$177,1)</f>
        <v>68</v>
      </c>
      <c r="E15" s="5">
        <f t="shared" si="0"/>
        <v>0.25</v>
      </c>
      <c r="F15" s="2" t="s">
        <v>88</v>
      </c>
      <c r="G15" s="3"/>
      <c r="H15" s="3"/>
      <c r="I15" s="3"/>
      <c r="J15" s="3"/>
      <c r="K15" s="3"/>
      <c r="L15" s="3"/>
      <c r="M15" s="3"/>
      <c r="N15" s="3"/>
    </row>
    <row r="16" ht="45" customHeight="1" spans="1:14">
      <c r="A16" s="2" t="s">
        <v>87</v>
      </c>
      <c r="B16" s="2" t="s">
        <v>60</v>
      </c>
      <c r="C16" s="2">
        <f>COUNTIFS(数据清洗!$E$2:$E$177,1,数据清洗!$AX$2:$AX$177,1,数据清洗!$BE$2:$BE$177,1)</f>
        <v>0</v>
      </c>
      <c r="D16" s="2">
        <f>COUNTIFS(数据清洗!$E$2:$E$177,1,数据清洗!$AX$2:$AX$177,1)</f>
        <v>68</v>
      </c>
      <c r="E16" s="5">
        <f t="shared" si="0"/>
        <v>0</v>
      </c>
      <c r="F16" s="2" t="s">
        <v>88</v>
      </c>
      <c r="G16" s="3"/>
      <c r="H16" s="3"/>
      <c r="I16" s="3"/>
      <c r="J16" s="3"/>
      <c r="K16" s="3"/>
      <c r="L16" s="3"/>
      <c r="M16" s="3"/>
      <c r="N16" s="3"/>
    </row>
    <row r="17" ht="45" customHeight="1" spans="1:14">
      <c r="A17" s="2" t="s">
        <v>87</v>
      </c>
      <c r="B17" s="2" t="s">
        <v>70</v>
      </c>
      <c r="C17" s="2">
        <f>COUNTIFS(数据清洗!$E$2:$E$177,1,数据清洗!$AX$2:$AX$177,1,数据清洗!$BF$2:$BF$177,1)</f>
        <v>37</v>
      </c>
      <c r="D17" s="2">
        <f>COUNTIFS(数据清洗!$E$2:$E$177,1,数据清洗!$AX$2:$AX$177,1)</f>
        <v>68</v>
      </c>
      <c r="E17" s="5">
        <f t="shared" si="0"/>
        <v>0.544117647058823</v>
      </c>
      <c r="F17" s="2" t="s">
        <v>88</v>
      </c>
      <c r="G17" s="3"/>
      <c r="H17" s="3"/>
      <c r="I17" s="3"/>
      <c r="J17" s="3"/>
      <c r="K17" s="3"/>
      <c r="L17" s="3"/>
      <c r="M17" s="3"/>
      <c r="N17" s="3"/>
    </row>
    <row r="18" ht="45" customHeight="1" spans="1:14">
      <c r="A18" s="2" t="s">
        <v>90</v>
      </c>
      <c r="B18" s="2" t="s">
        <v>91</v>
      </c>
      <c r="C18" s="2">
        <f>COUNTIFS(数据清洗!$E$2:$E$177,1,数据清洗!$BG$2:$BG$177,1,数据清洗!$X$2:$X$177,"出售尝试记录",数据清洗!$BH$2:$BH$177,1)</f>
        <v>1</v>
      </c>
      <c r="D18" s="2">
        <f>COUNTIFS(数据清洗!$E$2:$E$177,1,数据清洗!$BG$2:$BG$177,1,数据清洗!$X$2:$X$177,"出售尝试记录")</f>
        <v>9</v>
      </c>
      <c r="E18" s="5">
        <f t="shared" si="0"/>
        <v>0.111111111111111</v>
      </c>
      <c r="F18" s="2" t="s">
        <v>92</v>
      </c>
      <c r="G18" s="3"/>
      <c r="H18" s="3"/>
      <c r="I18" s="3"/>
      <c r="J18" s="3"/>
      <c r="K18" s="3"/>
      <c r="L18" s="3"/>
      <c r="M18" s="3"/>
      <c r="N18" s="3"/>
    </row>
    <row r="19" ht="45" customHeight="1" spans="1:14">
      <c r="A19" s="2" t="s">
        <v>90</v>
      </c>
      <c r="B19" s="2" t="s">
        <v>55</v>
      </c>
      <c r="C19" s="2">
        <f>COUNTIFS(数据清洗!$E$2:$E$177,1,数据清洗!$BG$2:$BG$177,1,数据清洗!$X$2:$X$177,"出售尝试记录",数据清洗!$BI$2:$BI$177,1)</f>
        <v>0</v>
      </c>
      <c r="D19" s="2">
        <f>COUNTIFS(数据清洗!$E$2:$E$177,1,数据清洗!$BG$2:$BG$177,1,数据清洗!$X$2:$X$177,"出售尝试记录")</f>
        <v>9</v>
      </c>
      <c r="E19" s="5">
        <f t="shared" si="0"/>
        <v>0</v>
      </c>
      <c r="F19" s="2" t="s">
        <v>92</v>
      </c>
      <c r="G19" s="3"/>
      <c r="H19" s="3"/>
      <c r="I19" s="3"/>
      <c r="J19" s="3"/>
      <c r="K19" s="3"/>
      <c r="L19" s="3"/>
      <c r="M19" s="3"/>
      <c r="N19" s="3"/>
    </row>
    <row r="20" ht="45" customHeight="1" spans="1:14">
      <c r="A20" s="2" t="s">
        <v>90</v>
      </c>
      <c r="B20" s="2" t="s">
        <v>93</v>
      </c>
      <c r="C20" s="2">
        <f>COUNTIFS(数据清洗!$E$2:$E$177,1,数据清洗!$BG$2:$BG$177,1,数据清洗!$X$2:$X$177,"出售尝试记录",数据清洗!$BJ$2:$BJ$177,1)</f>
        <v>3</v>
      </c>
      <c r="D20" s="2">
        <f>COUNTIFS(数据清洗!$E$2:$E$177,1,数据清洗!$BG$2:$BG$177,1,数据清洗!$X$2:$X$177,"出售尝试记录")</f>
        <v>9</v>
      </c>
      <c r="E20" s="5">
        <f t="shared" si="0"/>
        <v>0.333333333333333</v>
      </c>
      <c r="F20" s="2" t="s">
        <v>92</v>
      </c>
      <c r="G20" s="3"/>
      <c r="H20" s="3"/>
      <c r="I20" s="3"/>
      <c r="J20" s="3"/>
      <c r="K20" s="3"/>
      <c r="L20" s="3"/>
      <c r="M20" s="3"/>
      <c r="N20" s="3"/>
    </row>
    <row r="21" ht="45" customHeight="1" spans="1:14">
      <c r="A21" s="2" t="s">
        <v>90</v>
      </c>
      <c r="B21" s="2" t="s">
        <v>94</v>
      </c>
      <c r="C21" s="2">
        <f>COUNTIFS(数据清洗!$E$2:$E$177,1,数据清洗!$BG$2:$BG$177,1,数据清洗!$X$2:$X$177,"出售尝试记录",数据清洗!$BK$2:$BK$177,1)</f>
        <v>3</v>
      </c>
      <c r="D21" s="2">
        <f>COUNTIFS(数据清洗!$E$2:$E$177,1,数据清洗!$BG$2:$BG$177,1,数据清洗!$X$2:$X$177,"出售尝试记录")</f>
        <v>9</v>
      </c>
      <c r="E21" s="5">
        <f t="shared" si="0"/>
        <v>0.333333333333333</v>
      </c>
      <c r="F21" s="2" t="s">
        <v>92</v>
      </c>
      <c r="G21" s="3"/>
      <c r="H21" s="3"/>
      <c r="I21" s="3"/>
      <c r="J21" s="3"/>
      <c r="K21" s="3"/>
      <c r="L21" s="3"/>
      <c r="M21" s="3"/>
      <c r="N21" s="3"/>
    </row>
    <row r="22" ht="45" customHeight="1" spans="1:14">
      <c r="A22" s="2" t="s">
        <v>90</v>
      </c>
      <c r="B22" s="2" t="s">
        <v>95</v>
      </c>
      <c r="C22" s="2">
        <f>COUNTIFS(数据清洗!$E$2:$E$177,1,数据清洗!$BG$2:$BG$177,1,数据清洗!$X$2:$X$177,"出售尝试记录",数据清洗!$BL$2:$BL$177,1)</f>
        <v>0</v>
      </c>
      <c r="D22" s="2">
        <f>COUNTIFS(数据清洗!$E$2:$E$177,1,数据清洗!$BG$2:$BG$177,1,数据清洗!$X$2:$X$177,"出售尝试记录")</f>
        <v>9</v>
      </c>
      <c r="E22" s="5">
        <f t="shared" si="0"/>
        <v>0</v>
      </c>
      <c r="F22" s="2" t="s">
        <v>92</v>
      </c>
      <c r="G22" s="3"/>
      <c r="H22" s="3"/>
      <c r="I22" s="3"/>
      <c r="J22" s="3"/>
      <c r="K22" s="3"/>
      <c r="L22" s="3"/>
      <c r="M22" s="3"/>
      <c r="N22" s="3"/>
    </row>
    <row r="23" ht="45" customHeight="1" spans="1:14">
      <c r="A23" s="2" t="s">
        <v>90</v>
      </c>
      <c r="B23" s="2" t="s">
        <v>60</v>
      </c>
      <c r="C23" s="2">
        <f>COUNTIFS(数据清洗!$E$2:$E$177,1,数据清洗!$BG$2:$BG$177,1,数据清洗!$X$2:$X$177,"出售尝试记录",数据清洗!$BM$2:$BM$177,1)</f>
        <v>0</v>
      </c>
      <c r="D23" s="2">
        <f>COUNTIFS(数据清洗!$E$2:$E$177,1,数据清洗!$BG$2:$BG$177,1,数据清洗!$X$2:$X$177,"出售尝试记录")</f>
        <v>9</v>
      </c>
      <c r="E23" s="5">
        <f t="shared" si="0"/>
        <v>0</v>
      </c>
      <c r="F23" s="2" t="s">
        <v>92</v>
      </c>
      <c r="G23" s="3"/>
      <c r="H23" s="3"/>
      <c r="I23" s="3"/>
      <c r="J23" s="3"/>
      <c r="K23" s="3"/>
      <c r="L23" s="3"/>
      <c r="M23" s="3"/>
      <c r="N23" s="3"/>
    </row>
    <row r="24" ht="45" customHeight="1" spans="1:14">
      <c r="A24" s="2" t="s">
        <v>90</v>
      </c>
      <c r="B24" s="2" t="s">
        <v>96</v>
      </c>
      <c r="C24" s="2">
        <f>COUNTIFS(数据清洗!$E$2:$E$177,1,数据清洗!$BG$2:$BG$177,1,数据清洗!$X$2:$X$177,"出售尝试记录",数据清洗!$BN$2:$BN$177,1)</f>
        <v>1</v>
      </c>
      <c r="D24" s="2">
        <f>COUNTIFS(数据清洗!$E$2:$E$177,1,数据清洗!$BG$2:$BG$177,1,数据清洗!$X$2:$X$177,"出售尝试记录")</f>
        <v>9</v>
      </c>
      <c r="E24" s="5">
        <f t="shared" si="0"/>
        <v>0.111111111111111</v>
      </c>
      <c r="F24" s="2" t="s">
        <v>92</v>
      </c>
      <c r="G24" s="3"/>
      <c r="H24" s="3"/>
      <c r="I24" s="3"/>
      <c r="J24" s="3"/>
      <c r="K24" s="3"/>
      <c r="L24" s="3"/>
      <c r="M24" s="3"/>
      <c r="N24" s="3"/>
    </row>
    <row r="25" ht="45" customHeight="1" spans="1:14">
      <c r="A25" s="2" t="s">
        <v>90</v>
      </c>
      <c r="B25" s="2" t="s">
        <v>97</v>
      </c>
      <c r="C25" s="2">
        <f>COUNTIFS(数据清洗!$E$2:$E$177,1,数据清洗!$BG$2:$BG$177,1,数据清洗!$X$2:$X$177,"出售尝试记录",数据清洗!$BO$2:$BO$177,1)</f>
        <v>1</v>
      </c>
      <c r="D25" s="2">
        <f>COUNTIFS(数据清洗!$E$2:$E$177,1,数据清洗!$BG$2:$BG$177,1,数据清洗!$X$2:$X$177,"出售尝试记录")</f>
        <v>9</v>
      </c>
      <c r="E25" s="5">
        <f t="shared" si="0"/>
        <v>0.111111111111111</v>
      </c>
      <c r="F25" s="2" t="s">
        <v>92</v>
      </c>
      <c r="G25" s="3"/>
      <c r="H25" s="3"/>
      <c r="I25" s="3"/>
      <c r="J25" s="3"/>
      <c r="K25" s="3"/>
      <c r="L25" s="3"/>
      <c r="M25" s="3"/>
      <c r="N25" s="3"/>
    </row>
    <row r="26" ht="45" customHeight="1" spans="1:14">
      <c r="A26" s="2" t="s">
        <v>90</v>
      </c>
      <c r="B26" s="2" t="s">
        <v>98</v>
      </c>
      <c r="C26" s="2">
        <f>COUNTIFS(数据清洗!$E$2:$E$177,1,数据清洗!$BG$2:$BG$177,1,数据清洗!$X$2:$X$177,"出售尝试记录",数据清洗!$BQ$2:$BQ$177,1)</f>
        <v>5</v>
      </c>
      <c r="D26" s="2">
        <f>COUNTIFS(数据清洗!$E$2:$E$177,1,数据清洗!$BG$2:$BG$177,1,数据清洗!$X$2:$X$177,"出售尝试记录")</f>
        <v>9</v>
      </c>
      <c r="E26" s="5">
        <f t="shared" si="0"/>
        <v>0.555555555555556</v>
      </c>
      <c r="F26" s="2" t="s">
        <v>92</v>
      </c>
      <c r="G26" s="3"/>
      <c r="H26" s="3"/>
      <c r="I26" s="3"/>
      <c r="J26" s="3"/>
      <c r="K26" s="3"/>
      <c r="L26" s="3"/>
      <c r="M26" s="3"/>
      <c r="N26" s="3"/>
    </row>
    <row r="27" ht="45" customHeight="1" spans="1:14">
      <c r="A27" s="2" t="s">
        <v>90</v>
      </c>
      <c r="B27" s="2" t="s">
        <v>99</v>
      </c>
      <c r="C27" s="2">
        <f>COUNTIFS(数据清洗!$E$2:$E$177,1,数据清洗!$BG$2:$BG$177,1,数据清洗!$X$2:$X$177,"出售尝试记录",数据清洗!$BR$2:$BR$177,1)</f>
        <v>2</v>
      </c>
      <c r="D27" s="2">
        <f>COUNTIFS(数据清洗!$E$2:$E$177,1,数据清洗!$BG$2:$BG$177,1,数据清洗!$X$2:$X$177,"出售尝试记录")</f>
        <v>9</v>
      </c>
      <c r="E27" s="5">
        <f t="shared" si="0"/>
        <v>0.222222222222222</v>
      </c>
      <c r="F27" s="2" t="s">
        <v>92</v>
      </c>
      <c r="G27" s="3"/>
      <c r="H27" s="3"/>
      <c r="I27" s="3"/>
      <c r="J27" s="3"/>
      <c r="K27" s="3"/>
      <c r="L27" s="3"/>
      <c r="M27" s="3"/>
      <c r="N27" s="3"/>
    </row>
    <row r="28" ht="45" customHeight="1" spans="1:14">
      <c r="A28" s="2" t="s">
        <v>90</v>
      </c>
      <c r="B28" s="2" t="s">
        <v>100</v>
      </c>
      <c r="C28" s="2">
        <f>COUNTIFS(数据清洗!$E$2:$E$177,1,数据清洗!$BG$2:$BG$177,1,数据清洗!$X$2:$X$177,"出售尝试记录",数据清洗!$BT$2:$BT$177,1)</f>
        <v>4</v>
      </c>
      <c r="D28" s="2">
        <f>COUNTIFS(数据清洗!$E$2:$E$177,1,数据清洗!$BG$2:$BG$177,1,数据清洗!$X$2:$X$177,"出售尝试记录")</f>
        <v>9</v>
      </c>
      <c r="E28" s="5">
        <f t="shared" si="0"/>
        <v>0.444444444444444</v>
      </c>
      <c r="F28" s="2" t="s">
        <v>92</v>
      </c>
      <c r="G28" s="3"/>
      <c r="H28" s="3"/>
      <c r="I28" s="3"/>
      <c r="J28" s="3"/>
      <c r="K28" s="3"/>
      <c r="L28" s="3"/>
      <c r="M28" s="3"/>
      <c r="N28" s="3"/>
    </row>
    <row r="29" ht="45" customHeight="1" spans="1:14">
      <c r="A29" s="2" t="s">
        <v>101</v>
      </c>
      <c r="B29" s="2" t="s">
        <v>91</v>
      </c>
      <c r="C29" s="2">
        <f>COUNTIFS(数据清洗!$E$2:$E$177,1,数据清洗!$BG$2:$BG$177,1,数据清洗!$X$2:$X$177,"交换尝试记录",数据清洗!$BH$2:$BH$177,1)</f>
        <v>7</v>
      </c>
      <c r="D29" s="2">
        <f>COUNTIFS(数据清洗!$E$2:$E$177,1,数据清洗!$BG$2:$BG$177,1,数据清洗!$X$2:$X$177,"交换尝试记录")</f>
        <v>18</v>
      </c>
      <c r="E29" s="5">
        <f t="shared" si="0"/>
        <v>0.388888888888889</v>
      </c>
      <c r="F29" s="2" t="s">
        <v>92</v>
      </c>
      <c r="G29" s="3"/>
      <c r="H29" s="3"/>
      <c r="I29" s="3"/>
      <c r="J29" s="3"/>
      <c r="K29" s="3"/>
      <c r="L29" s="3"/>
      <c r="M29" s="3"/>
      <c r="N29" s="3"/>
    </row>
    <row r="30" ht="45" customHeight="1" spans="1:14">
      <c r="A30" s="2" t="s">
        <v>101</v>
      </c>
      <c r="B30" s="2" t="s">
        <v>55</v>
      </c>
      <c r="C30" s="2">
        <f>COUNTIFS(数据清洗!$E$2:$E$177,1,数据清洗!$BG$2:$BG$177,1,数据清洗!$X$2:$X$177,"交换尝试记录",数据清洗!$BI$2:$BI$177,1)</f>
        <v>0</v>
      </c>
      <c r="D30" s="2">
        <f>COUNTIFS(数据清洗!$E$2:$E$177,1,数据清洗!$BG$2:$BG$177,1,数据清洗!$X$2:$X$177,"交换尝试记录")</f>
        <v>18</v>
      </c>
      <c r="E30" s="5">
        <f t="shared" si="0"/>
        <v>0</v>
      </c>
      <c r="F30" s="2" t="s">
        <v>92</v>
      </c>
      <c r="G30" s="3"/>
      <c r="H30" s="3"/>
      <c r="I30" s="3"/>
      <c r="J30" s="3"/>
      <c r="K30" s="3"/>
      <c r="L30" s="3"/>
      <c r="M30" s="3"/>
      <c r="N30" s="3"/>
    </row>
    <row r="31" ht="45" customHeight="1" spans="1:14">
      <c r="A31" s="2" t="s">
        <v>101</v>
      </c>
      <c r="B31" s="2" t="s">
        <v>93</v>
      </c>
      <c r="C31" s="2">
        <f>COUNTIFS(数据清洗!$E$2:$E$177,1,数据清洗!$BG$2:$BG$177,1,数据清洗!$X$2:$X$177,"交换尝试记录",数据清洗!$BJ$2:$BJ$177,1)</f>
        <v>2</v>
      </c>
      <c r="D31" s="2">
        <f>COUNTIFS(数据清洗!$E$2:$E$177,1,数据清洗!$BG$2:$BG$177,1,数据清洗!$X$2:$X$177,"交换尝试记录")</f>
        <v>18</v>
      </c>
      <c r="E31" s="5">
        <f t="shared" si="0"/>
        <v>0.111111111111111</v>
      </c>
      <c r="F31" s="2" t="s">
        <v>92</v>
      </c>
      <c r="G31" s="3"/>
      <c r="H31" s="3"/>
      <c r="I31" s="3"/>
      <c r="J31" s="3"/>
      <c r="K31" s="3"/>
      <c r="L31" s="3"/>
      <c r="M31" s="3"/>
      <c r="N31" s="3"/>
    </row>
    <row r="32" ht="45" customHeight="1" spans="1:14">
      <c r="A32" s="2" t="s">
        <v>101</v>
      </c>
      <c r="B32" s="2" t="s">
        <v>94</v>
      </c>
      <c r="C32" s="2">
        <f>COUNTIFS(数据清洗!$E$2:$E$177,1,数据清洗!$BG$2:$BG$177,1,数据清洗!$X$2:$X$177,"交换尝试记录",数据清洗!$BK$2:$BK$177,1)</f>
        <v>6</v>
      </c>
      <c r="D32" s="2">
        <f>COUNTIFS(数据清洗!$E$2:$E$177,1,数据清洗!$BG$2:$BG$177,1,数据清洗!$X$2:$X$177,"交换尝试记录")</f>
        <v>18</v>
      </c>
      <c r="E32" s="5">
        <f t="shared" si="0"/>
        <v>0.333333333333333</v>
      </c>
      <c r="F32" s="2" t="s">
        <v>92</v>
      </c>
      <c r="G32" s="3"/>
      <c r="H32" s="3"/>
      <c r="I32" s="3"/>
      <c r="J32" s="3"/>
      <c r="K32" s="3"/>
      <c r="L32" s="3"/>
      <c r="M32" s="3"/>
      <c r="N32" s="3"/>
    </row>
    <row r="33" ht="45" customHeight="1" spans="1:14">
      <c r="A33" s="2" t="s">
        <v>101</v>
      </c>
      <c r="B33" s="2" t="s">
        <v>95</v>
      </c>
      <c r="C33" s="2">
        <f>COUNTIFS(数据清洗!$E$2:$E$177,1,数据清洗!$BG$2:$BG$177,1,数据清洗!$X$2:$X$177,"交换尝试记录",数据清洗!$BL$2:$BL$177,1)</f>
        <v>0</v>
      </c>
      <c r="D33" s="2">
        <f>COUNTIFS(数据清洗!$E$2:$E$177,1,数据清洗!$BG$2:$BG$177,1,数据清洗!$X$2:$X$177,"交换尝试记录")</f>
        <v>18</v>
      </c>
      <c r="E33" s="5">
        <f t="shared" si="0"/>
        <v>0</v>
      </c>
      <c r="F33" s="2" t="s">
        <v>92</v>
      </c>
      <c r="G33" s="3"/>
      <c r="H33" s="3"/>
      <c r="I33" s="3"/>
      <c r="J33" s="3"/>
      <c r="K33" s="3"/>
      <c r="L33" s="3"/>
      <c r="M33" s="3"/>
      <c r="N33" s="3"/>
    </row>
    <row r="34" ht="45" customHeight="1" spans="1:14">
      <c r="A34" s="2" t="s">
        <v>101</v>
      </c>
      <c r="B34" s="2" t="s">
        <v>60</v>
      </c>
      <c r="C34" s="2">
        <f>COUNTIFS(数据清洗!$E$2:$E$177,1,数据清洗!$BG$2:$BG$177,1,数据清洗!$X$2:$X$177,"交换尝试记录",数据清洗!$BM$2:$BM$177,1)</f>
        <v>0</v>
      </c>
      <c r="D34" s="2">
        <f>COUNTIFS(数据清洗!$E$2:$E$177,1,数据清洗!$BG$2:$BG$177,1,数据清洗!$X$2:$X$177,"交换尝试记录")</f>
        <v>18</v>
      </c>
      <c r="E34" s="5">
        <f t="shared" si="0"/>
        <v>0</v>
      </c>
      <c r="F34" s="2" t="s">
        <v>92</v>
      </c>
      <c r="G34" s="3"/>
      <c r="H34" s="3"/>
      <c r="I34" s="3"/>
      <c r="J34" s="3"/>
      <c r="K34" s="3"/>
      <c r="L34" s="3"/>
      <c r="M34" s="3"/>
      <c r="N34" s="3"/>
    </row>
    <row r="35" ht="45" customHeight="1" spans="1:14">
      <c r="A35" s="2" t="s">
        <v>101</v>
      </c>
      <c r="B35" s="2" t="s">
        <v>96</v>
      </c>
      <c r="C35" s="2">
        <f>COUNTIFS(数据清洗!$E$2:$E$177,1,数据清洗!$BG$2:$BG$177,1,数据清洗!$X$2:$X$177,"交换尝试记录",数据清洗!$BN$2:$BN$177,1)</f>
        <v>2</v>
      </c>
      <c r="D35" s="2">
        <f>COUNTIFS(数据清洗!$E$2:$E$177,1,数据清洗!$BG$2:$BG$177,1,数据清洗!$X$2:$X$177,"交换尝试记录")</f>
        <v>18</v>
      </c>
      <c r="E35" s="5">
        <f t="shared" si="0"/>
        <v>0.111111111111111</v>
      </c>
      <c r="F35" s="2" t="s">
        <v>92</v>
      </c>
      <c r="G35" s="3"/>
      <c r="H35" s="3"/>
      <c r="I35" s="3"/>
      <c r="J35" s="3"/>
      <c r="K35" s="3"/>
      <c r="L35" s="3"/>
      <c r="M35" s="3"/>
      <c r="N35" s="3"/>
    </row>
    <row r="36" ht="45" customHeight="1" spans="1:14">
      <c r="A36" s="2" t="s">
        <v>101</v>
      </c>
      <c r="B36" s="2" t="s">
        <v>97</v>
      </c>
      <c r="C36" s="2">
        <f>COUNTIFS(数据清洗!$E$2:$E$177,1,数据清洗!$BG$2:$BG$177,1,数据清洗!$X$2:$X$177,"交换尝试记录",数据清洗!$BO$2:$BO$177,1)</f>
        <v>6</v>
      </c>
      <c r="D36" s="2">
        <f>COUNTIFS(数据清洗!$E$2:$E$177,1,数据清洗!$BG$2:$BG$177,1,数据清洗!$X$2:$X$177,"交换尝试记录")</f>
        <v>18</v>
      </c>
      <c r="E36" s="5">
        <f t="shared" si="0"/>
        <v>0.333333333333333</v>
      </c>
      <c r="F36" s="2" t="s">
        <v>92</v>
      </c>
      <c r="G36" s="3"/>
      <c r="H36" s="3"/>
      <c r="I36" s="3"/>
      <c r="J36" s="3"/>
      <c r="K36" s="3"/>
      <c r="L36" s="3"/>
      <c r="M36" s="3"/>
      <c r="N36" s="3"/>
    </row>
    <row r="37" ht="45" customHeight="1" spans="1:14">
      <c r="A37" s="2" t="s">
        <v>101</v>
      </c>
      <c r="B37" s="2" t="s">
        <v>102</v>
      </c>
      <c r="C37" s="2">
        <f>COUNTIFS(数据清洗!$E$2:$E$177,1,数据清洗!$BG$2:$BG$177,1,数据清洗!$X$2:$X$177,"交换尝试记录",数据清洗!$BP$2:$BP$177,1)</f>
        <v>9</v>
      </c>
      <c r="D37" s="2">
        <f>COUNTIFS(数据清洗!$E$2:$E$177,1,数据清洗!$BG$2:$BG$177,1,数据清洗!$X$2:$X$177,"交换尝试记录")</f>
        <v>18</v>
      </c>
      <c r="E37" s="5">
        <f t="shared" si="0"/>
        <v>0.5</v>
      </c>
      <c r="F37" s="2" t="s">
        <v>92</v>
      </c>
      <c r="G37" s="3"/>
      <c r="H37" s="3"/>
      <c r="I37" s="3"/>
      <c r="J37" s="3"/>
      <c r="K37" s="3"/>
      <c r="L37" s="3"/>
      <c r="M37" s="3"/>
      <c r="N37" s="3"/>
    </row>
    <row r="38" ht="45" customHeight="1" spans="1:14">
      <c r="A38" s="2" t="s">
        <v>101</v>
      </c>
      <c r="B38" s="2" t="s">
        <v>98</v>
      </c>
      <c r="C38" s="2">
        <f>COUNTIFS(数据清洗!$E$2:$E$177,1,数据清洗!$BG$2:$BG$177,1,数据清洗!$X$2:$X$177,"交换尝试记录",数据清洗!$BQ$2:$BQ$177,1)</f>
        <v>5</v>
      </c>
      <c r="D38" s="2">
        <f>COUNTIFS(数据清洗!$E$2:$E$177,1,数据清洗!$BG$2:$BG$177,1,数据清洗!$X$2:$X$177,"交换尝试记录")</f>
        <v>18</v>
      </c>
      <c r="E38" s="5">
        <f t="shared" si="0"/>
        <v>0.277777777777778</v>
      </c>
      <c r="F38" s="2" t="s">
        <v>92</v>
      </c>
      <c r="G38" s="3"/>
      <c r="H38" s="3"/>
      <c r="I38" s="3"/>
      <c r="J38" s="3"/>
      <c r="K38" s="3"/>
      <c r="L38" s="3"/>
      <c r="M38" s="3"/>
      <c r="N38" s="3"/>
    </row>
    <row r="39" ht="45" customHeight="1" spans="1:14">
      <c r="A39" s="2" t="s">
        <v>101</v>
      </c>
      <c r="B39" s="2" t="s">
        <v>99</v>
      </c>
      <c r="C39" s="2">
        <f>COUNTIFS(数据清洗!$E$2:$E$177,1,数据清洗!$BG$2:$BG$177,1,数据清洗!$X$2:$X$177,"交换尝试记录",数据清洗!$BR$2:$BR$177,1)</f>
        <v>3</v>
      </c>
      <c r="D39" s="2">
        <f>COUNTIFS(数据清洗!$E$2:$E$177,1,数据清洗!$BG$2:$BG$177,1,数据清洗!$X$2:$X$177,"交换尝试记录")</f>
        <v>18</v>
      </c>
      <c r="E39" s="5">
        <f t="shared" si="0"/>
        <v>0.166666666666667</v>
      </c>
      <c r="F39" s="2" t="s">
        <v>92</v>
      </c>
      <c r="G39" s="3"/>
      <c r="H39" s="3"/>
      <c r="I39" s="3"/>
      <c r="J39" s="3"/>
      <c r="K39" s="3"/>
      <c r="L39" s="3"/>
      <c r="M39" s="3"/>
      <c r="N39" s="3"/>
    </row>
    <row r="40" ht="45" customHeight="1" spans="1:14">
      <c r="A40" s="2" t="s">
        <v>101</v>
      </c>
      <c r="B40" s="2" t="s">
        <v>103</v>
      </c>
      <c r="C40" s="2">
        <f>COUNTIFS(数据清洗!$E$2:$E$177,1,数据清洗!$BG$2:$BG$177,1,数据清洗!$X$2:$X$177,"交换尝试记录",数据清洗!$BS$2:$BS$177,1)</f>
        <v>9</v>
      </c>
      <c r="D40" s="2">
        <f>COUNTIFS(数据清洗!$E$2:$E$177,1,数据清洗!$BG$2:$BG$177,1,数据清洗!$X$2:$X$177,"交换尝试记录")</f>
        <v>18</v>
      </c>
      <c r="E40" s="5">
        <f t="shared" si="0"/>
        <v>0.5</v>
      </c>
      <c r="F40" s="2" t="s">
        <v>92</v>
      </c>
      <c r="G40" s="3"/>
      <c r="H40" s="3"/>
      <c r="I40" s="3"/>
      <c r="J40" s="3"/>
      <c r="K40" s="3"/>
      <c r="L40" s="3"/>
      <c r="M40" s="3"/>
      <c r="N40" s="3"/>
    </row>
    <row r="41" ht="45" customHeight="1" spans="1:14">
      <c r="A41" s="2" t="s">
        <v>101</v>
      </c>
      <c r="B41" s="2" t="s">
        <v>100</v>
      </c>
      <c r="C41" s="2">
        <f>COUNTIFS(数据清洗!$E$2:$E$177,1,数据清洗!$BG$2:$BG$177,1,数据清洗!$X$2:$X$177,"交换尝试记录",数据清洗!$BT$2:$BT$177,1)</f>
        <v>9</v>
      </c>
      <c r="D41" s="2">
        <f>COUNTIFS(数据清洗!$E$2:$E$177,1,数据清洗!$BG$2:$BG$177,1,数据清洗!$X$2:$X$177,"交换尝试记录")</f>
        <v>18</v>
      </c>
      <c r="E41" s="5">
        <f t="shared" si="0"/>
        <v>0.5</v>
      </c>
      <c r="F41" s="2" t="s">
        <v>92</v>
      </c>
      <c r="G41" s="3"/>
      <c r="H41" s="3"/>
      <c r="I41" s="3"/>
      <c r="J41" s="3"/>
      <c r="K41" s="3"/>
      <c r="L41" s="3"/>
      <c r="M41" s="3"/>
      <c r="N41" s="3"/>
    </row>
    <row r="42" ht="25" customHeight="1" spans="1:14">
      <c r="A42" s="3"/>
      <c r="B42" s="3"/>
      <c r="C42" s="3"/>
      <c r="D42" s="3"/>
      <c r="E42" s="6"/>
      <c r="F42" s="3"/>
      <c r="G42" s="3"/>
      <c r="H42" s="3"/>
      <c r="I42" s="3"/>
      <c r="J42" s="3"/>
      <c r="K42" s="3"/>
      <c r="L42" s="3"/>
      <c r="M42" s="3"/>
      <c r="N42" s="3"/>
    </row>
    <row r="43" ht="25" customHeight="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25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25" customHeight="1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25" customHeight="1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25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25" customHeight="1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25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25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5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25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25" customHeight="1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25" customHeight="1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25" customHeight="1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25" customHeight="1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25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25" customHeight="1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25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25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5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25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25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25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2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25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25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5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25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25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25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25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5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25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2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25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25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25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5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25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25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25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25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25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2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25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25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25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25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25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5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25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25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25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2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25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25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25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25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25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25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25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25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25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2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25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25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25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25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25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25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25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25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25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2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25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25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25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25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25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25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25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25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25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25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25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25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25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25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25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25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5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25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2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25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25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25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5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25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25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25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25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25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2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25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25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25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25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25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25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25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25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25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2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25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25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25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25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25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25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25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25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25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2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25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25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25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25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25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25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25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25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25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2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25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25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25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25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25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25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25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25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25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25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5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25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25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25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25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25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25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25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2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25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25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25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25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25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25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25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25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25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2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25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25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25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25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25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25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25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25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25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2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25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25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25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5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25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25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25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25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25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25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25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25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25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25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25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25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25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25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2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25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25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25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25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25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25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25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25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25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2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25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25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25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25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25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25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25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25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25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2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25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25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25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25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25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</sheetData>
  <mergeCells count="2">
    <mergeCell ref="A1:G1"/>
    <mergeCell ref="A2:G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workbookViewId="0">
      <pane ySplit="5" topLeftCell="A43" activePane="bottomLeft" state="frozen"/>
      <selection/>
      <selection pane="bottomLeft" activeCell="A1" sqref="A1:G1"/>
    </sheetView>
  </sheetViews>
  <sheetFormatPr defaultColWidth="9" defaultRowHeight="14"/>
  <cols>
    <col min="1" max="1" width="18" customWidth="1"/>
    <col min="2" max="2" width="46" customWidth="1"/>
    <col min="3" max="5" width="14" customWidth="1"/>
    <col min="6" max="6" width="54" customWidth="1"/>
    <col min="7" max="14" width="16" customWidth="1"/>
  </cols>
  <sheetData>
    <row r="1" ht="32" customHeight="1" spans="1:14">
      <c r="A1" s="4" t="s">
        <v>104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</row>
    <row r="2" ht="42" customHeight="1" spans="1:14">
      <c r="A2" s="2" t="s">
        <v>105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5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32" customHeight="1" spans="1:14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3"/>
      <c r="I5" s="3"/>
      <c r="J5" s="3"/>
      <c r="K5" s="3"/>
      <c r="L5" s="3"/>
      <c r="M5" s="3"/>
      <c r="N5" s="3"/>
    </row>
    <row r="6" ht="25" customHeight="1" spans="1:14">
      <c r="A6" s="3" t="s">
        <v>113</v>
      </c>
      <c r="B6" s="3">
        <f>COUNTIFS(数据清洗!$E$2:$E$177,1,数据清洗!$CQ$2:$CQ$177,4)+COUNTIFS(数据清洗!$E$2:$E$177,1,数据清洗!$CQ$2:$CQ$177,5)</f>
        <v>47</v>
      </c>
      <c r="C6" s="3">
        <f>COUNTIFS(数据清洗!$E$2:$E$177,1,数据清洗!$CQ$2:$CQ$177,"&lt;&gt;")</f>
        <v>59</v>
      </c>
      <c r="D6" s="6">
        <f>IF(C6=0,"",B6/C6)</f>
        <v>0.796610169491525</v>
      </c>
      <c r="E6" s="3">
        <f>COUNTIFS(数据清洗!$E$2:$E$177,1)-C6</f>
        <v>63</v>
      </c>
      <c r="F6" s="3">
        <f>COUNTIFS(数据清洗!$E$2:$E$177,1,数据清洗!$CQ$2:$CQ$177,97)</f>
        <v>1</v>
      </c>
      <c r="G6" s="6">
        <f>IF(C6-F6=0,"",B6/(C6-F6))</f>
        <v>0.810344827586207</v>
      </c>
      <c r="H6" s="3"/>
      <c r="I6" s="3"/>
      <c r="J6" s="3"/>
      <c r="K6" s="3"/>
      <c r="L6" s="3"/>
      <c r="M6" s="3"/>
      <c r="N6" s="3"/>
    </row>
    <row r="7" ht="25" customHeight="1" spans="1:14">
      <c r="A7" s="3" t="s">
        <v>114</v>
      </c>
      <c r="B7" s="3">
        <f>COUNTIFS(数据清洗!$E$2:$E$177,1,数据清洗!$CS$2:$CS$177,4)+COUNTIFS(数据清洗!$E$2:$E$177,1,数据清洗!$CS$2:$CS$177,5)</f>
        <v>41</v>
      </c>
      <c r="C7" s="3">
        <f>COUNTIFS(数据清洗!$E$2:$E$177,1,数据清洗!$CS$2:$CS$177,"&lt;&gt;")</f>
        <v>63</v>
      </c>
      <c r="D7" s="6">
        <f>IF(C7=0,"",B7/C7)</f>
        <v>0.650793650793651</v>
      </c>
      <c r="E7" s="3">
        <f>COUNTIFS(数据清洗!$E$2:$E$177,1)-C7</f>
        <v>59</v>
      </c>
      <c r="F7" s="3">
        <f>COUNTIFS(数据清洗!$E$2:$E$177,1,数据清洗!$CS$2:$CS$177,97)</f>
        <v>0</v>
      </c>
      <c r="G7" s="6">
        <f>IF(C7-F7=0,"",B7/(C7-F7))</f>
        <v>0.650793650793651</v>
      </c>
      <c r="H7" s="3"/>
      <c r="I7" s="3"/>
      <c r="J7" s="3"/>
      <c r="K7" s="3"/>
      <c r="L7" s="3"/>
      <c r="M7" s="3"/>
      <c r="N7" s="3"/>
    </row>
    <row r="8" ht="25" customHeight="1" spans="1:14">
      <c r="A8" s="3" t="s">
        <v>115</v>
      </c>
      <c r="B8" s="3">
        <f>COUNTIFS(数据清洗!$E$2:$E$177,1,数据清洗!$CU$2:$CU$177,4)+COUNTIFS(数据清洗!$E$2:$E$177,1,数据清洗!$CU$2:$CU$177,5)</f>
        <v>44</v>
      </c>
      <c r="C8" s="3">
        <f>COUNTIFS(数据清洗!$E$2:$E$177,1,数据清洗!$CU$2:$CU$177,"&lt;&gt;")</f>
        <v>57</v>
      </c>
      <c r="D8" s="6">
        <f>IF(C8=0,"",B8/C8)</f>
        <v>0.771929824561403</v>
      </c>
      <c r="E8" s="3">
        <f>COUNTIFS(数据清洗!$E$2:$E$177,1)-C8</f>
        <v>65</v>
      </c>
      <c r="F8" s="3">
        <f>COUNTIFS(数据清洗!$E$2:$E$177,1,数据清洗!$CU$2:$CU$177,97)</f>
        <v>3</v>
      </c>
      <c r="G8" s="6">
        <f>IF(C8-F8=0,"",B8/(C8-F8))</f>
        <v>0.814814814814815</v>
      </c>
      <c r="H8" s="3"/>
      <c r="I8" s="3"/>
      <c r="J8" s="3"/>
      <c r="K8" s="3"/>
      <c r="L8" s="3"/>
      <c r="M8" s="3"/>
      <c r="N8" s="3"/>
    </row>
    <row r="9" ht="25" customHeight="1" spans="1:14">
      <c r="A9" s="3" t="s">
        <v>116</v>
      </c>
      <c r="B9" s="3">
        <f>COUNTIFS(数据清洗!$E$2:$E$177,1,数据清洗!$CW$2:$CW$177,4)+COUNTIFS(数据清洗!$E$2:$E$177,1,数据清洗!$CW$2:$CW$177,5)</f>
        <v>28</v>
      </c>
      <c r="C9" s="3">
        <f>COUNTIFS(数据清洗!$E$2:$E$177,1,数据清洗!$CW$2:$CW$177,"&lt;&gt;")</f>
        <v>52</v>
      </c>
      <c r="D9" s="6">
        <f>IF(C9=0,"",B9/C9)</f>
        <v>0.538461538461538</v>
      </c>
      <c r="E9" s="3">
        <f>COUNTIFS(数据清洗!$E$2:$E$177,1)-C9</f>
        <v>70</v>
      </c>
      <c r="F9" s="3">
        <f>COUNTIFS(数据清洗!$E$2:$E$177,1,数据清洗!$CW$2:$CW$177,97)</f>
        <v>2</v>
      </c>
      <c r="G9" s="6">
        <f>IF(C9-F9=0,"",B9/(C9-F9))</f>
        <v>0.56</v>
      </c>
      <c r="H9" s="3"/>
      <c r="I9" s="3"/>
      <c r="J9" s="3"/>
      <c r="K9" s="3"/>
      <c r="L9" s="3"/>
      <c r="M9" s="3"/>
      <c r="N9" s="3"/>
    </row>
    <row r="10" ht="25" customHeight="1" spans="1:14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36" customHeight="1" spans="1:14">
      <c r="A11" s="2" t="s">
        <v>117</v>
      </c>
      <c r="B11" s="2"/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</row>
    <row r="12" ht="25" customHeight="1" spans="1:14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32" customHeight="1" spans="1:14">
      <c r="A13" s="1" t="s">
        <v>16</v>
      </c>
      <c r="B13" s="1" t="s">
        <v>5</v>
      </c>
      <c r="C13" s="1" t="s">
        <v>17</v>
      </c>
      <c r="D13" s="1" t="s">
        <v>18</v>
      </c>
      <c r="E13" s="1" t="s">
        <v>19</v>
      </c>
      <c r="F13" s="1" t="s">
        <v>20</v>
      </c>
      <c r="G13" s="3"/>
      <c r="H13" s="3"/>
      <c r="I13" s="3"/>
      <c r="J13" s="3"/>
      <c r="K13" s="3"/>
      <c r="L13" s="3"/>
      <c r="M13" s="3"/>
      <c r="N13" s="3"/>
    </row>
    <row r="14" ht="45" customHeight="1" spans="1:14">
      <c r="A14" s="2" t="s">
        <v>118</v>
      </c>
      <c r="B14" s="2" t="s">
        <v>119</v>
      </c>
      <c r="C14" s="2">
        <f>COUNTIFS(数据清洗!$E$2:$E$177,1,数据清洗!$BU$2:$BU$177,1,数据清洗!$BV$2:$BV$177,1)</f>
        <v>51</v>
      </c>
      <c r="D14" s="2">
        <f>COUNTIFS(数据清洗!$E$2:$E$177,1,数据清洗!$BU$2:$BU$177,1)</f>
        <v>117</v>
      </c>
      <c r="E14" s="5">
        <f t="shared" ref="E14:E57" si="0">IF(D14=0,"",C14/D14)</f>
        <v>0.435897435897436</v>
      </c>
      <c r="F14" s="2" t="s">
        <v>120</v>
      </c>
      <c r="G14" s="3"/>
      <c r="H14" s="3"/>
      <c r="I14" s="3"/>
      <c r="J14" s="3"/>
      <c r="K14" s="3"/>
      <c r="L14" s="3"/>
      <c r="M14" s="3"/>
      <c r="N14" s="3"/>
    </row>
    <row r="15" ht="45" customHeight="1" spans="1:14">
      <c r="A15" s="2" t="s">
        <v>118</v>
      </c>
      <c r="B15" s="2" t="s">
        <v>121</v>
      </c>
      <c r="C15" s="2">
        <f>COUNTIFS(数据清洗!$E$2:$E$177,1,数据清洗!$BU$2:$BU$177,1,数据清洗!$BW$2:$BW$177,1)</f>
        <v>42</v>
      </c>
      <c r="D15" s="2">
        <f>COUNTIFS(数据清洗!$E$2:$E$177,1,数据清洗!$BU$2:$BU$177,1)</f>
        <v>117</v>
      </c>
      <c r="E15" s="5">
        <f t="shared" si="0"/>
        <v>0.358974358974359</v>
      </c>
      <c r="F15" s="2" t="s">
        <v>120</v>
      </c>
      <c r="G15" s="3"/>
      <c r="H15" s="3"/>
      <c r="I15" s="3"/>
      <c r="J15" s="3"/>
      <c r="K15" s="3"/>
      <c r="L15" s="3"/>
      <c r="M15" s="3"/>
      <c r="N15" s="3"/>
    </row>
    <row r="16" ht="45" customHeight="1" spans="1:14">
      <c r="A16" s="2" t="s">
        <v>118</v>
      </c>
      <c r="B16" s="2" t="s">
        <v>122</v>
      </c>
      <c r="C16" s="2">
        <f>COUNTIFS(数据清洗!$E$2:$E$177,1,数据清洗!$BU$2:$BU$177,1,数据清洗!$BX$2:$BX$177,1)</f>
        <v>45</v>
      </c>
      <c r="D16" s="2">
        <f>COUNTIFS(数据清洗!$E$2:$E$177,1,数据清洗!$BU$2:$BU$177,1)</f>
        <v>117</v>
      </c>
      <c r="E16" s="5">
        <f t="shared" si="0"/>
        <v>0.384615384615385</v>
      </c>
      <c r="F16" s="2" t="s">
        <v>120</v>
      </c>
      <c r="G16" s="3"/>
      <c r="H16" s="3"/>
      <c r="I16" s="3"/>
      <c r="J16" s="3"/>
      <c r="K16" s="3"/>
      <c r="L16" s="3"/>
      <c r="M16" s="3"/>
      <c r="N16" s="3"/>
    </row>
    <row r="17" ht="45" customHeight="1" spans="1:14">
      <c r="A17" s="2" t="s">
        <v>118</v>
      </c>
      <c r="B17" s="2" t="s">
        <v>123</v>
      </c>
      <c r="C17" s="2">
        <f>COUNTIFS(数据清洗!$E$2:$E$177,1,数据清洗!$BU$2:$BU$177,1,数据清洗!$BY$2:$BY$177,1)</f>
        <v>1</v>
      </c>
      <c r="D17" s="2">
        <f>COUNTIFS(数据清洗!$E$2:$E$177,1,数据清洗!$BU$2:$BU$177,1)</f>
        <v>117</v>
      </c>
      <c r="E17" s="5">
        <f t="shared" si="0"/>
        <v>0.00854700854700855</v>
      </c>
      <c r="F17" s="2" t="s">
        <v>120</v>
      </c>
      <c r="G17" s="3"/>
      <c r="H17" s="3"/>
      <c r="I17" s="3"/>
      <c r="J17" s="3"/>
      <c r="K17" s="3"/>
      <c r="L17" s="3"/>
      <c r="M17" s="3"/>
      <c r="N17" s="3"/>
    </row>
    <row r="18" ht="45" customHeight="1" spans="1:14">
      <c r="A18" s="2" t="s">
        <v>118</v>
      </c>
      <c r="B18" s="2" t="s">
        <v>55</v>
      </c>
      <c r="C18" s="2">
        <f>COUNTIFS(数据清洗!$E$2:$E$177,1,数据清洗!$BU$2:$BU$177,1,数据清洗!$BZ$2:$BZ$177,1)</f>
        <v>6</v>
      </c>
      <c r="D18" s="2">
        <f>COUNTIFS(数据清洗!$E$2:$E$177,1,数据清洗!$BU$2:$BU$177,1)</f>
        <v>117</v>
      </c>
      <c r="E18" s="5">
        <f t="shared" si="0"/>
        <v>0.0512820512820513</v>
      </c>
      <c r="F18" s="2" t="s">
        <v>120</v>
      </c>
      <c r="G18" s="3"/>
      <c r="H18" s="3"/>
      <c r="I18" s="3"/>
      <c r="J18" s="3"/>
      <c r="K18" s="3"/>
      <c r="L18" s="3"/>
      <c r="M18" s="3"/>
      <c r="N18" s="3"/>
    </row>
    <row r="19" ht="45" customHeight="1" spans="1:14">
      <c r="A19" s="2" t="s">
        <v>118</v>
      </c>
      <c r="B19" s="2" t="s">
        <v>124</v>
      </c>
      <c r="C19" s="2">
        <f>COUNTIFS(数据清洗!$E$2:$E$177,1,数据清洗!$BU$2:$BU$177,1,数据清洗!$CA$2:$CA$177,1)</f>
        <v>17</v>
      </c>
      <c r="D19" s="2">
        <f>COUNTIFS(数据清洗!$E$2:$E$177,1,数据清洗!$BU$2:$BU$177,1)</f>
        <v>117</v>
      </c>
      <c r="E19" s="5">
        <f t="shared" si="0"/>
        <v>0.145299145299145</v>
      </c>
      <c r="F19" s="2" t="s">
        <v>120</v>
      </c>
      <c r="G19" s="3"/>
      <c r="H19" s="3"/>
      <c r="I19" s="3"/>
      <c r="J19" s="3"/>
      <c r="K19" s="3"/>
      <c r="L19" s="3"/>
      <c r="M19" s="3"/>
      <c r="N19" s="3"/>
    </row>
    <row r="20" ht="45" customHeight="1" spans="1:14">
      <c r="A20" s="2" t="s">
        <v>118</v>
      </c>
      <c r="B20" s="2" t="s">
        <v>125</v>
      </c>
      <c r="C20" s="2">
        <f>COUNTIFS(数据清洗!$E$2:$E$177,1,数据清洗!$BU$2:$BU$177,1,数据清洗!$CB$2:$CB$177,1)</f>
        <v>25</v>
      </c>
      <c r="D20" s="2">
        <f>COUNTIFS(数据清洗!$E$2:$E$177,1,数据清洗!$BU$2:$BU$177,1)</f>
        <v>117</v>
      </c>
      <c r="E20" s="5">
        <f t="shared" si="0"/>
        <v>0.213675213675214</v>
      </c>
      <c r="F20" s="2" t="s">
        <v>120</v>
      </c>
      <c r="G20" s="3"/>
      <c r="H20" s="3"/>
      <c r="I20" s="3"/>
      <c r="J20" s="3"/>
      <c r="K20" s="3"/>
      <c r="L20" s="3"/>
      <c r="M20" s="3"/>
      <c r="N20" s="3"/>
    </row>
    <row r="21" ht="45" customHeight="1" spans="1:14">
      <c r="A21" s="2" t="s">
        <v>118</v>
      </c>
      <c r="B21" s="2" t="s">
        <v>126</v>
      </c>
      <c r="C21" s="2">
        <f>COUNTIFS(数据清洗!$E$2:$E$177,1,数据清洗!$BU$2:$BU$177,1,数据清洗!$CC$2:$CC$177,1)</f>
        <v>26</v>
      </c>
      <c r="D21" s="2">
        <f>COUNTIFS(数据清洗!$E$2:$E$177,1,数据清洗!$BU$2:$BU$177,1)</f>
        <v>117</v>
      </c>
      <c r="E21" s="5">
        <f t="shared" si="0"/>
        <v>0.222222222222222</v>
      </c>
      <c r="F21" s="2" t="s">
        <v>120</v>
      </c>
      <c r="G21" s="3"/>
      <c r="H21" s="3"/>
      <c r="I21" s="3"/>
      <c r="J21" s="3"/>
      <c r="K21" s="3"/>
      <c r="L21" s="3"/>
      <c r="M21" s="3"/>
      <c r="N21" s="3"/>
    </row>
    <row r="22" ht="45" customHeight="1" spans="1:14">
      <c r="A22" s="2" t="s">
        <v>118</v>
      </c>
      <c r="B22" s="2" t="s">
        <v>127</v>
      </c>
      <c r="C22" s="2">
        <f>COUNTIFS(数据清洗!$E$2:$E$177,1,数据清洗!$BU$2:$BU$177,1,数据清洗!$CD$2:$CD$177,1)</f>
        <v>36</v>
      </c>
      <c r="D22" s="2">
        <f>COUNTIFS(数据清洗!$E$2:$E$177,1,数据清洗!$BU$2:$BU$177,1)</f>
        <v>117</v>
      </c>
      <c r="E22" s="5">
        <f t="shared" si="0"/>
        <v>0.307692307692308</v>
      </c>
      <c r="F22" s="2" t="s">
        <v>120</v>
      </c>
      <c r="G22" s="3"/>
      <c r="H22" s="3"/>
      <c r="I22" s="3"/>
      <c r="J22" s="3"/>
      <c r="K22" s="3"/>
      <c r="L22" s="3"/>
      <c r="M22" s="3"/>
      <c r="N22" s="3"/>
    </row>
    <row r="23" ht="45" customHeight="1" spans="1:14">
      <c r="A23" s="2" t="s">
        <v>118</v>
      </c>
      <c r="B23" s="2" t="s">
        <v>128</v>
      </c>
      <c r="C23" s="2">
        <f>COUNTIFS(数据清洗!$E$2:$E$177,1,数据清洗!$BU$2:$BU$177,1,数据清洗!$CE$2:$CE$177,1)</f>
        <v>3</v>
      </c>
      <c r="D23" s="2">
        <f>COUNTIFS(数据清洗!$E$2:$E$177,1,数据清洗!$BU$2:$BU$177,1)</f>
        <v>117</v>
      </c>
      <c r="E23" s="5">
        <f t="shared" si="0"/>
        <v>0.0256410256410256</v>
      </c>
      <c r="F23" s="2" t="s">
        <v>120</v>
      </c>
      <c r="G23" s="3"/>
      <c r="H23" s="3"/>
      <c r="I23" s="3"/>
      <c r="J23" s="3"/>
      <c r="K23" s="3"/>
      <c r="L23" s="3"/>
      <c r="M23" s="3"/>
      <c r="N23" s="3"/>
    </row>
    <row r="24" ht="45" customHeight="1" spans="1:14">
      <c r="A24" s="2" t="s">
        <v>129</v>
      </c>
      <c r="B24" s="2" t="s">
        <v>55</v>
      </c>
      <c r="C24" s="2">
        <f>COUNTIFS(数据清洗!$E$2:$E$177,1,数据清洗!$CF$2:$CF$177,1,数据清洗!$CG$2:$CG$177,1)</f>
        <v>2</v>
      </c>
      <c r="D24" s="2">
        <f>COUNTIFS(数据清洗!$E$2:$E$177,1,数据清洗!$CF$2:$CF$177,1)</f>
        <v>49</v>
      </c>
      <c r="E24" s="5">
        <f t="shared" si="0"/>
        <v>0.0408163265306122</v>
      </c>
      <c r="F24" s="2" t="s">
        <v>130</v>
      </c>
      <c r="G24" s="3"/>
      <c r="H24" s="3"/>
      <c r="I24" s="3"/>
      <c r="J24" s="3"/>
      <c r="K24" s="3"/>
      <c r="L24" s="3"/>
      <c r="M24" s="3"/>
      <c r="N24" s="3"/>
    </row>
    <row r="25" ht="45" customHeight="1" spans="1:14">
      <c r="A25" s="2" t="s">
        <v>129</v>
      </c>
      <c r="B25" s="2" t="s">
        <v>131</v>
      </c>
      <c r="C25" s="2">
        <f>COUNTIFS(数据清洗!$E$2:$E$177,1,数据清洗!$CF$2:$CF$177,1,数据清洗!$CH$2:$CH$177,1)</f>
        <v>7</v>
      </c>
      <c r="D25" s="2">
        <f>COUNTIFS(数据清洗!$E$2:$E$177,1,数据清洗!$CF$2:$CF$177,1)</f>
        <v>49</v>
      </c>
      <c r="E25" s="5">
        <f t="shared" si="0"/>
        <v>0.142857142857143</v>
      </c>
      <c r="F25" s="2" t="s">
        <v>130</v>
      </c>
      <c r="G25" s="3"/>
      <c r="H25" s="3"/>
      <c r="I25" s="3"/>
      <c r="J25" s="3"/>
      <c r="K25" s="3"/>
      <c r="L25" s="3"/>
      <c r="M25" s="3"/>
      <c r="N25" s="3"/>
    </row>
    <row r="26" ht="45" customHeight="1" spans="1:14">
      <c r="A26" s="2" t="s">
        <v>129</v>
      </c>
      <c r="B26" s="2" t="s">
        <v>132</v>
      </c>
      <c r="C26" s="2">
        <f>COUNTIFS(数据清洗!$E$2:$E$177,1,数据清洗!$CF$2:$CF$177,1,数据清洗!$CI$2:$CI$177,1)</f>
        <v>5</v>
      </c>
      <c r="D26" s="2">
        <f>COUNTIFS(数据清洗!$E$2:$E$177,1,数据清洗!$CF$2:$CF$177,1)</f>
        <v>49</v>
      </c>
      <c r="E26" s="5">
        <f t="shared" si="0"/>
        <v>0.102040816326531</v>
      </c>
      <c r="F26" s="2" t="s">
        <v>130</v>
      </c>
      <c r="G26" s="3"/>
      <c r="H26" s="3"/>
      <c r="I26" s="3"/>
      <c r="J26" s="3"/>
      <c r="K26" s="3"/>
      <c r="L26" s="3"/>
      <c r="M26" s="3"/>
      <c r="N26" s="3"/>
    </row>
    <row r="27" ht="45" customHeight="1" spans="1:14">
      <c r="A27" s="2" t="s">
        <v>129</v>
      </c>
      <c r="B27" s="2" t="s">
        <v>133</v>
      </c>
      <c r="C27" s="2">
        <f>COUNTIFS(数据清洗!$E$2:$E$177,1,数据清洗!$CF$2:$CF$177,1,数据清洗!$CJ$2:$CJ$177,1)</f>
        <v>6</v>
      </c>
      <c r="D27" s="2">
        <f>COUNTIFS(数据清洗!$E$2:$E$177,1,数据清洗!$CF$2:$CF$177,1)</f>
        <v>49</v>
      </c>
      <c r="E27" s="5">
        <f t="shared" si="0"/>
        <v>0.122448979591837</v>
      </c>
      <c r="F27" s="2" t="s">
        <v>130</v>
      </c>
      <c r="G27" s="3"/>
      <c r="H27" s="3"/>
      <c r="I27" s="3"/>
      <c r="J27" s="3"/>
      <c r="K27" s="3"/>
      <c r="L27" s="3"/>
      <c r="M27" s="3"/>
      <c r="N27" s="3"/>
    </row>
    <row r="28" ht="45" customHeight="1" spans="1:14">
      <c r="A28" s="2" t="s">
        <v>129</v>
      </c>
      <c r="B28" s="2" t="s">
        <v>134</v>
      </c>
      <c r="C28" s="2">
        <f>COUNTIFS(数据清洗!$E$2:$E$177,1,数据清洗!$CF$2:$CF$177,1,数据清洗!$CK$2:$CK$177,1)</f>
        <v>3</v>
      </c>
      <c r="D28" s="2">
        <f>COUNTIFS(数据清洗!$E$2:$E$177,1,数据清洗!$CF$2:$CF$177,1)</f>
        <v>49</v>
      </c>
      <c r="E28" s="5">
        <f t="shared" si="0"/>
        <v>0.0612244897959184</v>
      </c>
      <c r="F28" s="2" t="s">
        <v>130</v>
      </c>
      <c r="G28" s="3"/>
      <c r="H28" s="3"/>
      <c r="I28" s="3"/>
      <c r="J28" s="3"/>
      <c r="K28" s="3"/>
      <c r="L28" s="3"/>
      <c r="M28" s="3"/>
      <c r="N28" s="3"/>
    </row>
    <row r="29" ht="45" customHeight="1" spans="1:14">
      <c r="A29" s="2" t="s">
        <v>129</v>
      </c>
      <c r="B29" s="2" t="s">
        <v>135</v>
      </c>
      <c r="C29" s="2">
        <f>COUNTIFS(数据清洗!$E$2:$E$177,1,数据清洗!$CF$2:$CF$177,1,数据清洗!$CL$2:$CL$177,1)</f>
        <v>2</v>
      </c>
      <c r="D29" s="2">
        <f>COUNTIFS(数据清洗!$E$2:$E$177,1,数据清洗!$CF$2:$CF$177,1)</f>
        <v>49</v>
      </c>
      <c r="E29" s="5">
        <f t="shared" si="0"/>
        <v>0.0408163265306122</v>
      </c>
      <c r="F29" s="2" t="s">
        <v>130</v>
      </c>
      <c r="G29" s="3"/>
      <c r="H29" s="3"/>
      <c r="I29" s="3"/>
      <c r="J29" s="3"/>
      <c r="K29" s="3"/>
      <c r="L29" s="3"/>
      <c r="M29" s="3"/>
      <c r="N29" s="3"/>
    </row>
    <row r="30" ht="45" customHeight="1" spans="1:14">
      <c r="A30" s="2" t="s">
        <v>129</v>
      </c>
      <c r="B30" s="2" t="s">
        <v>136</v>
      </c>
      <c r="C30" s="2">
        <f>COUNTIFS(数据清洗!$E$2:$E$177,1,数据清洗!$CF$2:$CF$177,1,数据清洗!$CM$2:$CM$177,1)</f>
        <v>3</v>
      </c>
      <c r="D30" s="2">
        <f>COUNTIFS(数据清洗!$E$2:$E$177,1,数据清洗!$CF$2:$CF$177,1)</f>
        <v>49</v>
      </c>
      <c r="E30" s="5">
        <f t="shared" si="0"/>
        <v>0.0612244897959184</v>
      </c>
      <c r="F30" s="2" t="s">
        <v>130</v>
      </c>
      <c r="G30" s="3"/>
      <c r="H30" s="3"/>
      <c r="I30" s="3"/>
      <c r="J30" s="3"/>
      <c r="K30" s="3"/>
      <c r="L30" s="3"/>
      <c r="M30" s="3"/>
      <c r="N30" s="3"/>
    </row>
    <row r="31" ht="45" customHeight="1" spans="1:14">
      <c r="A31" s="2" t="s">
        <v>129</v>
      </c>
      <c r="B31" s="2" t="s">
        <v>137</v>
      </c>
      <c r="C31" s="2">
        <f>COUNTIFS(数据清洗!$E$2:$E$177,1,数据清洗!$CF$2:$CF$177,1,数据清洗!$CN$2:$CN$177,1)</f>
        <v>7</v>
      </c>
      <c r="D31" s="2">
        <f>COUNTIFS(数据清洗!$E$2:$E$177,1,数据清洗!$CF$2:$CF$177,1)</f>
        <v>49</v>
      </c>
      <c r="E31" s="5">
        <f t="shared" si="0"/>
        <v>0.142857142857143</v>
      </c>
      <c r="F31" s="2" t="s">
        <v>130</v>
      </c>
      <c r="G31" s="3"/>
      <c r="H31" s="3"/>
      <c r="I31" s="3"/>
      <c r="J31" s="3"/>
      <c r="K31" s="3"/>
      <c r="L31" s="3"/>
      <c r="M31" s="3"/>
      <c r="N31" s="3"/>
    </row>
    <row r="32" ht="45" customHeight="1" spans="1:14">
      <c r="A32" s="2" t="s">
        <v>129</v>
      </c>
      <c r="B32" s="2" t="s">
        <v>138</v>
      </c>
      <c r="C32" s="2">
        <f>COUNTIFS(数据清洗!$E$2:$E$177,1,数据清洗!$CF$2:$CF$177,1,数据清洗!$CO$2:$CO$177,1)</f>
        <v>14</v>
      </c>
      <c r="D32" s="2">
        <f>COUNTIFS(数据清洗!$E$2:$E$177,1,数据清洗!$CF$2:$CF$177,1)</f>
        <v>49</v>
      </c>
      <c r="E32" s="5">
        <f t="shared" si="0"/>
        <v>0.285714285714286</v>
      </c>
      <c r="F32" s="2" t="s">
        <v>130</v>
      </c>
      <c r="G32" s="3"/>
      <c r="H32" s="3"/>
      <c r="I32" s="3"/>
      <c r="J32" s="3"/>
      <c r="K32" s="3"/>
      <c r="L32" s="3"/>
      <c r="M32" s="3"/>
      <c r="N32" s="3"/>
    </row>
    <row r="33" ht="45" customHeight="1" spans="1:14">
      <c r="A33" s="2" t="s">
        <v>129</v>
      </c>
      <c r="B33" s="2" t="s">
        <v>139</v>
      </c>
      <c r="C33" s="2">
        <f>COUNTIFS(数据清洗!$E$2:$E$177,1,数据清洗!$CF$2:$CF$177,1,数据清洗!$CP$2:$CP$177,1)</f>
        <v>0</v>
      </c>
      <c r="D33" s="2">
        <f>COUNTIFS(数据清洗!$E$2:$E$177,1,数据清洗!$CF$2:$CF$177,1)</f>
        <v>49</v>
      </c>
      <c r="E33" s="5">
        <f t="shared" si="0"/>
        <v>0</v>
      </c>
      <c r="F33" s="2" t="s">
        <v>130</v>
      </c>
      <c r="G33" s="3"/>
      <c r="H33" s="3"/>
      <c r="I33" s="3"/>
      <c r="J33" s="3"/>
      <c r="K33" s="3"/>
      <c r="L33" s="3"/>
      <c r="M33" s="3"/>
      <c r="N33" s="3"/>
    </row>
    <row r="34" ht="45" customHeight="1" spans="1:14">
      <c r="A34" s="2" t="s">
        <v>140</v>
      </c>
      <c r="B34" s="2" t="s">
        <v>141</v>
      </c>
      <c r="C34" s="2">
        <f>COUNTIFS(数据清洗!$E$2:$E$177,1,数据清洗!$CQ$2:$CQ$177,"&lt;&gt;",数据清洗!$CQ$2:$CQ$177,1)</f>
        <v>0</v>
      </c>
      <c r="D34" s="2">
        <f>COUNTIFS(数据清洗!$E$2:$E$177,1,数据清洗!$CQ$2:$CQ$177,"&lt;&gt;")</f>
        <v>59</v>
      </c>
      <c r="E34" s="5">
        <f t="shared" si="0"/>
        <v>0</v>
      </c>
      <c r="F34" s="2" t="s">
        <v>142</v>
      </c>
      <c r="G34" s="3"/>
      <c r="H34" s="3"/>
      <c r="I34" s="3"/>
      <c r="J34" s="3"/>
      <c r="K34" s="3"/>
      <c r="L34" s="3"/>
      <c r="M34" s="3"/>
      <c r="N34" s="3"/>
    </row>
    <row r="35" ht="45" customHeight="1" spans="1:14">
      <c r="A35" s="2" t="s">
        <v>140</v>
      </c>
      <c r="B35" s="2" t="s">
        <v>143</v>
      </c>
      <c r="C35" s="2">
        <f>COUNTIFS(数据清洗!$E$2:$E$177,1,数据清洗!$CQ$2:$CQ$177,"&lt;&gt;",数据清洗!$CQ$2:$CQ$177,2)</f>
        <v>2</v>
      </c>
      <c r="D35" s="2">
        <f>COUNTIFS(数据清洗!$E$2:$E$177,1,数据清洗!$CQ$2:$CQ$177,"&lt;&gt;")</f>
        <v>59</v>
      </c>
      <c r="E35" s="5">
        <f t="shared" si="0"/>
        <v>0.0338983050847458</v>
      </c>
      <c r="F35" s="2" t="s">
        <v>142</v>
      </c>
      <c r="G35" s="3"/>
      <c r="H35" s="3"/>
      <c r="I35" s="3"/>
      <c r="J35" s="3"/>
      <c r="K35" s="3"/>
      <c r="L35" s="3"/>
      <c r="M35" s="3"/>
      <c r="N35" s="3"/>
    </row>
    <row r="36" ht="45" customHeight="1" spans="1:14">
      <c r="A36" s="2" t="s">
        <v>140</v>
      </c>
      <c r="B36" s="2" t="s">
        <v>144</v>
      </c>
      <c r="C36" s="2">
        <f>COUNTIFS(数据清洗!$E$2:$E$177,1,数据清洗!$CQ$2:$CQ$177,"&lt;&gt;",数据清洗!$CQ$2:$CQ$177,3)</f>
        <v>9</v>
      </c>
      <c r="D36" s="2">
        <f>COUNTIFS(数据清洗!$E$2:$E$177,1,数据清洗!$CQ$2:$CQ$177,"&lt;&gt;")</f>
        <v>59</v>
      </c>
      <c r="E36" s="5">
        <f t="shared" si="0"/>
        <v>0.152542372881356</v>
      </c>
      <c r="F36" s="2" t="s">
        <v>142</v>
      </c>
      <c r="G36" s="3"/>
      <c r="H36" s="3"/>
      <c r="I36" s="3"/>
      <c r="J36" s="3"/>
      <c r="K36" s="3"/>
      <c r="L36" s="3"/>
      <c r="M36" s="3"/>
      <c r="N36" s="3"/>
    </row>
    <row r="37" ht="45" customHeight="1" spans="1:14">
      <c r="A37" s="2" t="s">
        <v>140</v>
      </c>
      <c r="B37" s="2" t="s">
        <v>145</v>
      </c>
      <c r="C37" s="2">
        <f>COUNTIFS(数据清洗!$E$2:$E$177,1,数据清洗!$CQ$2:$CQ$177,"&lt;&gt;",数据清洗!$CQ$2:$CQ$177,4)</f>
        <v>25</v>
      </c>
      <c r="D37" s="2">
        <f>COUNTIFS(数据清洗!$E$2:$E$177,1,数据清洗!$CQ$2:$CQ$177,"&lt;&gt;")</f>
        <v>59</v>
      </c>
      <c r="E37" s="5">
        <f t="shared" si="0"/>
        <v>0.423728813559322</v>
      </c>
      <c r="F37" s="2" t="s">
        <v>142</v>
      </c>
      <c r="G37" s="3"/>
      <c r="H37" s="3"/>
      <c r="I37" s="3"/>
      <c r="J37" s="3"/>
      <c r="K37" s="3"/>
      <c r="L37" s="3"/>
      <c r="M37" s="3"/>
      <c r="N37" s="3"/>
    </row>
    <row r="38" ht="45" customHeight="1" spans="1:14">
      <c r="A38" s="2" t="s">
        <v>140</v>
      </c>
      <c r="B38" s="2" t="s">
        <v>146</v>
      </c>
      <c r="C38" s="2">
        <f>COUNTIFS(数据清洗!$E$2:$E$177,1,数据清洗!$CQ$2:$CQ$177,"&lt;&gt;",数据清洗!$CQ$2:$CQ$177,5)</f>
        <v>22</v>
      </c>
      <c r="D38" s="2">
        <f>COUNTIFS(数据清洗!$E$2:$E$177,1,数据清洗!$CQ$2:$CQ$177,"&lt;&gt;")</f>
        <v>59</v>
      </c>
      <c r="E38" s="5">
        <f t="shared" si="0"/>
        <v>0.372881355932203</v>
      </c>
      <c r="F38" s="2" t="s">
        <v>142</v>
      </c>
      <c r="G38" s="3"/>
      <c r="H38" s="3"/>
      <c r="I38" s="3"/>
      <c r="J38" s="3"/>
      <c r="K38" s="3"/>
      <c r="L38" s="3"/>
      <c r="M38" s="3"/>
      <c r="N38" s="3"/>
    </row>
    <row r="39" ht="45" customHeight="1" spans="1:14">
      <c r="A39" s="2" t="s">
        <v>140</v>
      </c>
      <c r="B39" s="2" t="s">
        <v>147</v>
      </c>
      <c r="C39" s="2">
        <f>COUNTIFS(数据清洗!$E$2:$E$177,1,数据清洗!$CQ$2:$CQ$177,"&lt;&gt;",数据清洗!$CQ$2:$CQ$177,97)</f>
        <v>1</v>
      </c>
      <c r="D39" s="2">
        <f>COUNTIFS(数据清洗!$E$2:$E$177,1,数据清洗!$CQ$2:$CQ$177,"&lt;&gt;")</f>
        <v>59</v>
      </c>
      <c r="E39" s="5">
        <f t="shared" si="0"/>
        <v>0.0169491525423729</v>
      </c>
      <c r="F39" s="2" t="s">
        <v>142</v>
      </c>
      <c r="G39" s="3"/>
      <c r="H39" s="3"/>
      <c r="I39" s="3"/>
      <c r="J39" s="3"/>
      <c r="K39" s="3"/>
      <c r="L39" s="3"/>
      <c r="M39" s="3"/>
      <c r="N39" s="3"/>
    </row>
    <row r="40" ht="45" customHeight="1" spans="1:14">
      <c r="A40" s="2" t="s">
        <v>148</v>
      </c>
      <c r="B40" s="2" t="s">
        <v>141</v>
      </c>
      <c r="C40" s="2">
        <f>COUNTIFS(数据清洗!$E$2:$E$177,1,数据清洗!$CS$2:$CS$177,"&lt;&gt;",数据清洗!$CS$2:$CS$177,1)</f>
        <v>3</v>
      </c>
      <c r="D40" s="2">
        <f>COUNTIFS(数据清洗!$E$2:$E$177,1,数据清洗!$CS$2:$CS$177,"&lt;&gt;")</f>
        <v>63</v>
      </c>
      <c r="E40" s="5">
        <f t="shared" si="0"/>
        <v>0.0476190476190476</v>
      </c>
      <c r="F40" s="2" t="s">
        <v>149</v>
      </c>
      <c r="G40" s="3"/>
      <c r="H40" s="3"/>
      <c r="I40" s="3"/>
      <c r="J40" s="3"/>
      <c r="K40" s="3"/>
      <c r="L40" s="3"/>
      <c r="M40" s="3"/>
      <c r="N40" s="3"/>
    </row>
    <row r="41" ht="45" customHeight="1" spans="1:14">
      <c r="A41" s="2" t="s">
        <v>148</v>
      </c>
      <c r="B41" s="2" t="s">
        <v>143</v>
      </c>
      <c r="C41" s="2">
        <f>COUNTIFS(数据清洗!$E$2:$E$177,1,数据清洗!$CS$2:$CS$177,"&lt;&gt;",数据清洗!$CS$2:$CS$177,2)</f>
        <v>5</v>
      </c>
      <c r="D41" s="2">
        <f>COUNTIFS(数据清洗!$E$2:$E$177,1,数据清洗!$CS$2:$CS$177,"&lt;&gt;")</f>
        <v>63</v>
      </c>
      <c r="E41" s="5">
        <f t="shared" si="0"/>
        <v>0.0793650793650794</v>
      </c>
      <c r="F41" s="2" t="s">
        <v>149</v>
      </c>
      <c r="G41" s="3"/>
      <c r="H41" s="3"/>
      <c r="I41" s="3"/>
      <c r="J41" s="3"/>
      <c r="K41" s="3"/>
      <c r="L41" s="3"/>
      <c r="M41" s="3"/>
      <c r="N41" s="3"/>
    </row>
    <row r="42" ht="45" customHeight="1" spans="1:14">
      <c r="A42" s="2" t="s">
        <v>148</v>
      </c>
      <c r="B42" s="2" t="s">
        <v>144</v>
      </c>
      <c r="C42" s="2">
        <f>COUNTIFS(数据清洗!$E$2:$E$177,1,数据清洗!$CS$2:$CS$177,"&lt;&gt;",数据清洗!$CS$2:$CS$177,3)</f>
        <v>14</v>
      </c>
      <c r="D42" s="2">
        <f>COUNTIFS(数据清洗!$E$2:$E$177,1,数据清洗!$CS$2:$CS$177,"&lt;&gt;")</f>
        <v>63</v>
      </c>
      <c r="E42" s="5">
        <f t="shared" si="0"/>
        <v>0.222222222222222</v>
      </c>
      <c r="F42" s="2" t="s">
        <v>149</v>
      </c>
      <c r="G42" s="3"/>
      <c r="H42" s="3"/>
      <c r="I42" s="3"/>
      <c r="J42" s="3"/>
      <c r="K42" s="3"/>
      <c r="L42" s="3"/>
      <c r="M42" s="3"/>
      <c r="N42" s="3"/>
    </row>
    <row r="43" ht="45" customHeight="1" spans="1:14">
      <c r="A43" s="2" t="s">
        <v>148</v>
      </c>
      <c r="B43" s="2" t="s">
        <v>145</v>
      </c>
      <c r="C43" s="2">
        <f>COUNTIFS(数据清洗!$E$2:$E$177,1,数据清洗!$CS$2:$CS$177,"&lt;&gt;",数据清洗!$CS$2:$CS$177,4)</f>
        <v>22</v>
      </c>
      <c r="D43" s="2">
        <f>COUNTIFS(数据清洗!$E$2:$E$177,1,数据清洗!$CS$2:$CS$177,"&lt;&gt;")</f>
        <v>63</v>
      </c>
      <c r="E43" s="5">
        <f t="shared" si="0"/>
        <v>0.349206349206349</v>
      </c>
      <c r="F43" s="2" t="s">
        <v>149</v>
      </c>
      <c r="G43" s="3"/>
      <c r="H43" s="3"/>
      <c r="I43" s="3"/>
      <c r="J43" s="3"/>
      <c r="K43" s="3"/>
      <c r="L43" s="3"/>
      <c r="M43" s="3"/>
      <c r="N43" s="3"/>
    </row>
    <row r="44" ht="45" customHeight="1" spans="1:14">
      <c r="A44" s="2" t="s">
        <v>148</v>
      </c>
      <c r="B44" s="2" t="s">
        <v>146</v>
      </c>
      <c r="C44" s="2">
        <f>COUNTIFS(数据清洗!$E$2:$E$177,1,数据清洗!$CS$2:$CS$177,"&lt;&gt;",数据清洗!$CS$2:$CS$177,5)</f>
        <v>19</v>
      </c>
      <c r="D44" s="2">
        <f>COUNTIFS(数据清洗!$E$2:$E$177,1,数据清洗!$CS$2:$CS$177,"&lt;&gt;")</f>
        <v>63</v>
      </c>
      <c r="E44" s="5">
        <f t="shared" si="0"/>
        <v>0.301587301587302</v>
      </c>
      <c r="F44" s="2" t="s">
        <v>149</v>
      </c>
      <c r="G44" s="3"/>
      <c r="H44" s="3"/>
      <c r="I44" s="3"/>
      <c r="J44" s="3"/>
      <c r="K44" s="3"/>
      <c r="L44" s="3"/>
      <c r="M44" s="3"/>
      <c r="N44" s="3"/>
    </row>
    <row r="45" ht="45" customHeight="1" spans="1:14">
      <c r="A45" s="2" t="s">
        <v>148</v>
      </c>
      <c r="B45" s="2" t="s">
        <v>147</v>
      </c>
      <c r="C45" s="2">
        <f>COUNTIFS(数据清洗!$E$2:$E$177,1,数据清洗!$CS$2:$CS$177,"&lt;&gt;",数据清洗!$CS$2:$CS$177,97)</f>
        <v>0</v>
      </c>
      <c r="D45" s="2">
        <f>COUNTIFS(数据清洗!$E$2:$E$177,1,数据清洗!$CS$2:$CS$177,"&lt;&gt;")</f>
        <v>63</v>
      </c>
      <c r="E45" s="5">
        <f t="shared" si="0"/>
        <v>0</v>
      </c>
      <c r="F45" s="2" t="s">
        <v>149</v>
      </c>
      <c r="G45" s="3"/>
      <c r="H45" s="3"/>
      <c r="I45" s="3"/>
      <c r="J45" s="3"/>
      <c r="K45" s="3"/>
      <c r="L45" s="3"/>
      <c r="M45" s="3"/>
      <c r="N45" s="3"/>
    </row>
    <row r="46" ht="45" customHeight="1" spans="1:14">
      <c r="A46" s="2" t="s">
        <v>150</v>
      </c>
      <c r="B46" s="2" t="s">
        <v>141</v>
      </c>
      <c r="C46" s="2">
        <f>COUNTIFS(数据清洗!$E$2:$E$177,1,数据清洗!$CU$2:$CU$177,"&lt;&gt;",数据清洗!$CU$2:$CU$177,1)</f>
        <v>1</v>
      </c>
      <c r="D46" s="2">
        <f>COUNTIFS(数据清洗!$E$2:$E$177,1,数据清洗!$CU$2:$CU$177,"&lt;&gt;")</f>
        <v>57</v>
      </c>
      <c r="E46" s="5">
        <f t="shared" si="0"/>
        <v>0.0175438596491228</v>
      </c>
      <c r="F46" s="2" t="s">
        <v>151</v>
      </c>
      <c r="G46" s="3"/>
      <c r="H46" s="3"/>
      <c r="I46" s="3"/>
      <c r="J46" s="3"/>
      <c r="K46" s="3"/>
      <c r="L46" s="3"/>
      <c r="M46" s="3"/>
      <c r="N46" s="3"/>
    </row>
    <row r="47" ht="45" customHeight="1" spans="1:14">
      <c r="A47" s="2" t="s">
        <v>150</v>
      </c>
      <c r="B47" s="2" t="s">
        <v>143</v>
      </c>
      <c r="C47" s="2">
        <f>COUNTIFS(数据清洗!$E$2:$E$177,1,数据清洗!$CU$2:$CU$177,"&lt;&gt;",数据清洗!$CU$2:$CU$177,2)</f>
        <v>0</v>
      </c>
      <c r="D47" s="2">
        <f>COUNTIFS(数据清洗!$E$2:$E$177,1,数据清洗!$CU$2:$CU$177,"&lt;&gt;")</f>
        <v>57</v>
      </c>
      <c r="E47" s="5">
        <f t="shared" si="0"/>
        <v>0</v>
      </c>
      <c r="F47" s="2" t="s">
        <v>151</v>
      </c>
      <c r="G47" s="3"/>
      <c r="H47" s="3"/>
      <c r="I47" s="3"/>
      <c r="J47" s="3"/>
      <c r="K47" s="3"/>
      <c r="L47" s="3"/>
      <c r="M47" s="3"/>
      <c r="N47" s="3"/>
    </row>
    <row r="48" ht="45" customHeight="1" spans="1:14">
      <c r="A48" s="2" t="s">
        <v>150</v>
      </c>
      <c r="B48" s="2" t="s">
        <v>144</v>
      </c>
      <c r="C48" s="2">
        <f>COUNTIFS(数据清洗!$E$2:$E$177,1,数据清洗!$CU$2:$CU$177,"&lt;&gt;",数据清洗!$CU$2:$CU$177,3)</f>
        <v>9</v>
      </c>
      <c r="D48" s="2">
        <f>COUNTIFS(数据清洗!$E$2:$E$177,1,数据清洗!$CU$2:$CU$177,"&lt;&gt;")</f>
        <v>57</v>
      </c>
      <c r="E48" s="5">
        <f t="shared" si="0"/>
        <v>0.157894736842105</v>
      </c>
      <c r="F48" s="2" t="s">
        <v>151</v>
      </c>
      <c r="G48" s="3"/>
      <c r="H48" s="3"/>
      <c r="I48" s="3"/>
      <c r="J48" s="3"/>
      <c r="K48" s="3"/>
      <c r="L48" s="3"/>
      <c r="M48" s="3"/>
      <c r="N48" s="3"/>
    </row>
    <row r="49" ht="45" customHeight="1" spans="1:14">
      <c r="A49" s="2" t="s">
        <v>150</v>
      </c>
      <c r="B49" s="2" t="s">
        <v>145</v>
      </c>
      <c r="C49" s="2">
        <f>COUNTIFS(数据清洗!$E$2:$E$177,1,数据清洗!$CU$2:$CU$177,"&lt;&gt;",数据清洗!$CU$2:$CU$177,4)</f>
        <v>27</v>
      </c>
      <c r="D49" s="2">
        <f>COUNTIFS(数据清洗!$E$2:$E$177,1,数据清洗!$CU$2:$CU$177,"&lt;&gt;")</f>
        <v>57</v>
      </c>
      <c r="E49" s="5">
        <f t="shared" si="0"/>
        <v>0.473684210526316</v>
      </c>
      <c r="F49" s="2" t="s">
        <v>151</v>
      </c>
      <c r="G49" s="3"/>
      <c r="H49" s="3"/>
      <c r="I49" s="3"/>
      <c r="J49" s="3"/>
      <c r="K49" s="3"/>
      <c r="L49" s="3"/>
      <c r="M49" s="3"/>
      <c r="N49" s="3"/>
    </row>
    <row r="50" ht="45" customHeight="1" spans="1:14">
      <c r="A50" s="2" t="s">
        <v>150</v>
      </c>
      <c r="B50" s="2" t="s">
        <v>146</v>
      </c>
      <c r="C50" s="2">
        <f>COUNTIFS(数据清洗!$E$2:$E$177,1,数据清洗!$CU$2:$CU$177,"&lt;&gt;",数据清洗!$CU$2:$CU$177,5)</f>
        <v>17</v>
      </c>
      <c r="D50" s="2">
        <f>COUNTIFS(数据清洗!$E$2:$E$177,1,数据清洗!$CU$2:$CU$177,"&lt;&gt;")</f>
        <v>57</v>
      </c>
      <c r="E50" s="5">
        <f t="shared" si="0"/>
        <v>0.298245614035088</v>
      </c>
      <c r="F50" s="2" t="s">
        <v>151</v>
      </c>
      <c r="G50" s="3"/>
      <c r="H50" s="3"/>
      <c r="I50" s="3"/>
      <c r="J50" s="3"/>
      <c r="K50" s="3"/>
      <c r="L50" s="3"/>
      <c r="M50" s="3"/>
      <c r="N50" s="3"/>
    </row>
    <row r="51" ht="45" customHeight="1" spans="1:14">
      <c r="A51" s="2" t="s">
        <v>150</v>
      </c>
      <c r="B51" s="2" t="s">
        <v>147</v>
      </c>
      <c r="C51" s="2">
        <f>COUNTIFS(数据清洗!$E$2:$E$177,1,数据清洗!$CU$2:$CU$177,"&lt;&gt;",数据清洗!$CU$2:$CU$177,97)</f>
        <v>3</v>
      </c>
      <c r="D51" s="2">
        <f>COUNTIFS(数据清洗!$E$2:$E$177,1,数据清洗!$CU$2:$CU$177,"&lt;&gt;")</f>
        <v>57</v>
      </c>
      <c r="E51" s="5">
        <f t="shared" si="0"/>
        <v>0.0526315789473684</v>
      </c>
      <c r="F51" s="2" t="s">
        <v>151</v>
      </c>
      <c r="G51" s="3"/>
      <c r="H51" s="3"/>
      <c r="I51" s="3"/>
      <c r="J51" s="3"/>
      <c r="K51" s="3"/>
      <c r="L51" s="3"/>
      <c r="M51" s="3"/>
      <c r="N51" s="3"/>
    </row>
    <row r="52" ht="45" customHeight="1" spans="1:14">
      <c r="A52" s="2" t="s">
        <v>152</v>
      </c>
      <c r="B52" s="2" t="s">
        <v>141</v>
      </c>
      <c r="C52" s="2">
        <f>COUNTIFS(数据清洗!$E$2:$E$177,1,数据清洗!$CW$2:$CW$177,"&lt;&gt;",数据清洗!$CW$2:$CW$177,1)</f>
        <v>1</v>
      </c>
      <c r="D52" s="2">
        <f>COUNTIFS(数据清洗!$E$2:$E$177,1,数据清洗!$CW$2:$CW$177,"&lt;&gt;")</f>
        <v>52</v>
      </c>
      <c r="E52" s="5">
        <f t="shared" si="0"/>
        <v>0.0192307692307692</v>
      </c>
      <c r="F52" s="2" t="s">
        <v>153</v>
      </c>
      <c r="G52" s="3"/>
      <c r="H52" s="3"/>
      <c r="I52" s="3"/>
      <c r="J52" s="3"/>
      <c r="K52" s="3"/>
      <c r="L52" s="3"/>
      <c r="M52" s="3"/>
      <c r="N52" s="3"/>
    </row>
    <row r="53" ht="45" customHeight="1" spans="1:14">
      <c r="A53" s="2" t="s">
        <v>152</v>
      </c>
      <c r="B53" s="2" t="s">
        <v>143</v>
      </c>
      <c r="C53" s="2">
        <f>COUNTIFS(数据清洗!$E$2:$E$177,1,数据清洗!$CW$2:$CW$177,"&lt;&gt;",数据清洗!$CW$2:$CW$177,2)</f>
        <v>9</v>
      </c>
      <c r="D53" s="2">
        <f>COUNTIFS(数据清洗!$E$2:$E$177,1,数据清洗!$CW$2:$CW$177,"&lt;&gt;")</f>
        <v>52</v>
      </c>
      <c r="E53" s="5">
        <f t="shared" si="0"/>
        <v>0.173076923076923</v>
      </c>
      <c r="F53" s="2" t="s">
        <v>153</v>
      </c>
      <c r="G53" s="3"/>
      <c r="H53" s="3"/>
      <c r="I53" s="3"/>
      <c r="J53" s="3"/>
      <c r="K53" s="3"/>
      <c r="L53" s="3"/>
      <c r="M53" s="3"/>
      <c r="N53" s="3"/>
    </row>
    <row r="54" ht="45" customHeight="1" spans="1:14">
      <c r="A54" s="2" t="s">
        <v>152</v>
      </c>
      <c r="B54" s="2" t="s">
        <v>144</v>
      </c>
      <c r="C54" s="2">
        <f>COUNTIFS(数据清洗!$E$2:$E$177,1,数据清洗!$CW$2:$CW$177,"&lt;&gt;",数据清洗!$CW$2:$CW$177,3)</f>
        <v>12</v>
      </c>
      <c r="D54" s="2">
        <f>COUNTIFS(数据清洗!$E$2:$E$177,1,数据清洗!$CW$2:$CW$177,"&lt;&gt;")</f>
        <v>52</v>
      </c>
      <c r="E54" s="5">
        <f t="shared" si="0"/>
        <v>0.230769230769231</v>
      </c>
      <c r="F54" s="2" t="s">
        <v>153</v>
      </c>
      <c r="G54" s="3"/>
      <c r="H54" s="3"/>
      <c r="I54" s="3"/>
      <c r="J54" s="3"/>
      <c r="K54" s="3"/>
      <c r="L54" s="3"/>
      <c r="M54" s="3"/>
      <c r="N54" s="3"/>
    </row>
    <row r="55" ht="45" customHeight="1" spans="1:14">
      <c r="A55" s="2" t="s">
        <v>152</v>
      </c>
      <c r="B55" s="2" t="s">
        <v>145</v>
      </c>
      <c r="C55" s="2">
        <f>COUNTIFS(数据清洗!$E$2:$E$177,1,数据清洗!$CW$2:$CW$177,"&lt;&gt;",数据清洗!$CW$2:$CW$177,4)</f>
        <v>14</v>
      </c>
      <c r="D55" s="2">
        <f>COUNTIFS(数据清洗!$E$2:$E$177,1,数据清洗!$CW$2:$CW$177,"&lt;&gt;")</f>
        <v>52</v>
      </c>
      <c r="E55" s="5">
        <f t="shared" si="0"/>
        <v>0.269230769230769</v>
      </c>
      <c r="F55" s="2" t="s">
        <v>153</v>
      </c>
      <c r="G55" s="3"/>
      <c r="H55" s="3"/>
      <c r="I55" s="3"/>
      <c r="J55" s="3"/>
      <c r="K55" s="3"/>
      <c r="L55" s="3"/>
      <c r="M55" s="3"/>
      <c r="N55" s="3"/>
    </row>
    <row r="56" ht="45" customHeight="1" spans="1:14">
      <c r="A56" s="2" t="s">
        <v>152</v>
      </c>
      <c r="B56" s="2" t="s">
        <v>146</v>
      </c>
      <c r="C56" s="2">
        <f>COUNTIFS(数据清洗!$E$2:$E$177,1,数据清洗!$CW$2:$CW$177,"&lt;&gt;",数据清洗!$CW$2:$CW$177,5)</f>
        <v>14</v>
      </c>
      <c r="D56" s="2">
        <f>COUNTIFS(数据清洗!$E$2:$E$177,1,数据清洗!$CW$2:$CW$177,"&lt;&gt;")</f>
        <v>52</v>
      </c>
      <c r="E56" s="5">
        <f t="shared" si="0"/>
        <v>0.269230769230769</v>
      </c>
      <c r="F56" s="2" t="s">
        <v>153</v>
      </c>
      <c r="G56" s="3"/>
      <c r="H56" s="3"/>
      <c r="I56" s="3"/>
      <c r="J56" s="3"/>
      <c r="K56" s="3"/>
      <c r="L56" s="3"/>
      <c r="M56" s="3"/>
      <c r="N56" s="3"/>
    </row>
    <row r="57" ht="45" customHeight="1" spans="1:14">
      <c r="A57" s="2" t="s">
        <v>152</v>
      </c>
      <c r="B57" s="2" t="s">
        <v>147</v>
      </c>
      <c r="C57" s="2">
        <f>COUNTIFS(数据清洗!$E$2:$E$177,1,数据清洗!$CW$2:$CW$177,"&lt;&gt;",数据清洗!$CW$2:$CW$177,97)</f>
        <v>2</v>
      </c>
      <c r="D57" s="2">
        <f>COUNTIFS(数据清洗!$E$2:$E$177,1,数据清洗!$CW$2:$CW$177,"&lt;&gt;")</f>
        <v>52</v>
      </c>
      <c r="E57" s="5">
        <f t="shared" si="0"/>
        <v>0.0384615384615385</v>
      </c>
      <c r="F57" s="2" t="s">
        <v>153</v>
      </c>
      <c r="G57" s="3"/>
      <c r="H57" s="3"/>
      <c r="I57" s="3"/>
      <c r="J57" s="3"/>
      <c r="K57" s="3"/>
      <c r="L57" s="3"/>
      <c r="M57" s="3"/>
      <c r="N57" s="3"/>
    </row>
    <row r="58" ht="25" customHeight="1" spans="1:14">
      <c r="A58" s="3"/>
      <c r="B58" s="3"/>
      <c r="C58" s="3"/>
      <c r="D58" s="3"/>
      <c r="E58" s="6"/>
      <c r="F58" s="3"/>
      <c r="G58" s="3"/>
      <c r="H58" s="3"/>
      <c r="I58" s="3"/>
      <c r="J58" s="3"/>
      <c r="K58" s="3"/>
      <c r="L58" s="3"/>
      <c r="M58" s="3"/>
      <c r="N58" s="3"/>
    </row>
    <row r="59" ht="25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25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5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25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25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25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2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25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25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5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25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25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25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25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5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25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2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25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25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25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5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25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25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25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25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25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2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25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25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25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25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25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5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25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25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25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2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25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25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25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25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25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25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25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25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25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2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25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25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25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25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25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25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25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25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25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2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25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25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25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25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25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25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25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25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25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25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25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25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25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25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25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25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5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25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2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25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25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25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5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25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25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25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25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25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2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25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25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25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25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25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25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25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25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25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2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25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25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25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25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25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25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25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25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25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2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25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25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25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25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25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25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25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25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25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2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25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25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25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25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25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25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25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25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25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25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5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25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25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25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25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25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25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25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2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25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25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25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25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25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25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25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25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25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2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25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25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25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25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25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25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25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25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25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2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25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25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25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5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25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25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25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25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25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25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25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25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25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25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25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25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25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25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2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25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25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25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25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25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25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25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25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25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2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25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25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25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25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25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25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25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25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25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2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25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25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25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25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25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</sheetData>
  <mergeCells count="3">
    <mergeCell ref="A1:G1"/>
    <mergeCell ref="A2:G2"/>
    <mergeCell ref="A11:G1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0"/>
  <sheetViews>
    <sheetView workbookViewId="0">
      <pane ySplit="5" topLeftCell="A6" activePane="bottomLeft" state="frozen"/>
      <selection/>
      <selection pane="bottomLeft" activeCell="A1" sqref="A1:G1"/>
    </sheetView>
  </sheetViews>
  <sheetFormatPr defaultColWidth="9" defaultRowHeight="14"/>
  <cols>
    <col min="1" max="1" width="18" customWidth="1"/>
    <col min="2" max="2" width="46" customWidth="1"/>
    <col min="3" max="5" width="14" customWidth="1"/>
    <col min="6" max="11" width="17" customWidth="1"/>
    <col min="12" max="14" width="16" customWidth="1"/>
  </cols>
  <sheetData>
    <row r="1" ht="32" customHeight="1" spans="1:14">
      <c r="A1" s="4" t="s">
        <v>154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</row>
    <row r="2" ht="42" customHeight="1" spans="1:14">
      <c r="A2" s="2" t="s">
        <v>155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</row>
    <row r="3" ht="25" customHeight="1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ht="25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ht="32" customHeight="1" spans="1:14">
      <c r="A5" s="1" t="s">
        <v>156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162</v>
      </c>
      <c r="H5" s="1" t="s">
        <v>163</v>
      </c>
      <c r="I5" s="1" t="s">
        <v>164</v>
      </c>
      <c r="J5" s="1" t="s">
        <v>165</v>
      </c>
      <c r="K5" s="1" t="s">
        <v>166</v>
      </c>
      <c r="L5" s="3"/>
      <c r="M5" s="3"/>
      <c r="N5" s="3"/>
    </row>
    <row r="6" ht="42" customHeight="1" spans="1:14">
      <c r="A6" s="2" t="s">
        <v>167</v>
      </c>
      <c r="B6" s="2" t="s">
        <v>168</v>
      </c>
      <c r="C6" s="2">
        <f>COUNTIFS(数据清洗!$E$2:$E$177,1,数据清洗!$L$2:$L$177,1)</f>
        <v>94</v>
      </c>
      <c r="D6" s="2">
        <f>COUNTIFS(数据清洗!$E$2:$E$177,1,数据清洗!$L$2:$L$177,1,数据清洗!$M$2:$M$177,"有")</f>
        <v>46</v>
      </c>
      <c r="E6" s="5">
        <f t="shared" ref="E6:E20" si="0">IF(C6&lt;5,"",D6/C6)</f>
        <v>0.48936170212766</v>
      </c>
      <c r="F6" s="2">
        <f>COUNTIFS(数据清洗!$E$2:$E$177,1,数据清洗!$L$2:$L$177,1,数据清洗!$CQ$2:$CQ$177,4)+COUNTIFS(数据清洗!$E$2:$E$177,1,数据清洗!$L$2:$L$177,1,数据清洗!$CQ$2:$CQ$177,5)</f>
        <v>47</v>
      </c>
      <c r="G6" s="2">
        <f>COUNTIFS(数据清洗!$E$2:$E$177,1,数据清洗!$L$2:$L$177,1,数据清洗!$CQ$2:$CQ$177,"&lt;&gt;")</f>
        <v>58</v>
      </c>
      <c r="H6" s="5">
        <f t="shared" ref="H6:H20" si="1">IF(G6&lt;5,"",F6/G6)</f>
        <v>0.810344827586207</v>
      </c>
      <c r="I6" s="2">
        <f>COUNTIFS(数据清洗!$E$2:$E$177,1,数据清洗!$L$2:$L$177,1,数据清洗!$CS$2:$CS$177,4)+COUNTIFS(数据清洗!$E$2:$E$177,1,数据清洗!$L$2:$L$177,1,数据清洗!$CS$2:$CS$177,5)</f>
        <v>40</v>
      </c>
      <c r="J6" s="2">
        <f>COUNTIFS(数据清洗!$E$2:$E$177,1,数据清洗!$L$2:$L$177,1,数据清洗!$CS$2:$CS$177,"&lt;&gt;")</f>
        <v>62</v>
      </c>
      <c r="K6" s="5">
        <f t="shared" ref="K6:K20" si="2">IF(J6&lt;5,"",I6/J6)</f>
        <v>0.645161290322581</v>
      </c>
      <c r="L6" s="3"/>
      <c r="M6" s="3"/>
      <c r="N6" s="3"/>
    </row>
    <row r="7" ht="42" customHeight="1" spans="1:14">
      <c r="A7" s="2" t="s">
        <v>167</v>
      </c>
      <c r="B7" s="2" t="s">
        <v>169</v>
      </c>
      <c r="C7" s="2">
        <f>COUNTIFS(数据清洗!$E$2:$E$177,1,数据清洗!$L$2:$L$177,0)</f>
        <v>28</v>
      </c>
      <c r="D7" s="2">
        <f>COUNTIFS(数据清洗!$E$2:$E$177,1,数据清洗!$L$2:$L$177,0,数据清洗!$M$2:$M$177,"有")</f>
        <v>12</v>
      </c>
      <c r="E7" s="5">
        <f t="shared" si="0"/>
        <v>0.428571428571429</v>
      </c>
      <c r="F7" s="2">
        <f>COUNTIFS(数据清洗!$E$2:$E$177,1,数据清洗!$L$2:$L$177,0,数据清洗!$CQ$2:$CQ$177,4)+COUNTIFS(数据清洗!$E$2:$E$177,1,数据清洗!$L$2:$L$177,0,数据清洗!$CQ$2:$CQ$177,5)</f>
        <v>0</v>
      </c>
      <c r="G7" s="2">
        <f>COUNTIFS(数据清洗!$E$2:$E$177,1,数据清洗!$L$2:$L$177,0,数据清洗!$CQ$2:$CQ$177,"&lt;&gt;")</f>
        <v>1</v>
      </c>
      <c r="H7" s="5" t="str">
        <f t="shared" si="1"/>
        <v/>
      </c>
      <c r="I7" s="2">
        <f>COUNTIFS(数据清洗!$E$2:$E$177,1,数据清洗!$L$2:$L$177,0,数据清洗!$CS$2:$CS$177,4)+COUNTIFS(数据清洗!$E$2:$E$177,1,数据清洗!$L$2:$L$177,0,数据清洗!$CS$2:$CS$177,5)</f>
        <v>1</v>
      </c>
      <c r="J7" s="2">
        <f>COUNTIFS(数据清洗!$E$2:$E$177,1,数据清洗!$L$2:$L$177,0,数据清洗!$CS$2:$CS$177,"&lt;&gt;")</f>
        <v>1</v>
      </c>
      <c r="K7" s="5" t="str">
        <f t="shared" si="2"/>
        <v/>
      </c>
      <c r="L7" s="3"/>
      <c r="M7" s="3"/>
      <c r="N7" s="3"/>
    </row>
    <row r="8" ht="42" customHeight="1" spans="1:14">
      <c r="A8" s="2" t="s">
        <v>170</v>
      </c>
      <c r="B8" s="2" t="s">
        <v>43</v>
      </c>
      <c r="C8" s="2">
        <f>COUNTIFS(数据清洗!$E$2:$E$177,1,数据清洗!$M$2:$M$177,"有")</f>
        <v>58</v>
      </c>
      <c r="D8" s="2">
        <f>COUNTIFS(数据清洗!$E$2:$E$177,1,数据清洗!$M$2:$M$177,"有",数据清洗!$M$2:$M$177,"有")</f>
        <v>58</v>
      </c>
      <c r="E8" s="5">
        <f t="shared" si="0"/>
        <v>1</v>
      </c>
      <c r="F8" s="2">
        <f>COUNTIFS(数据清洗!$E$2:$E$177,1,数据清洗!$M$2:$M$177,"有",数据清洗!$CQ$2:$CQ$177,4)+COUNTIFS(数据清洗!$E$2:$E$177,1,数据清洗!$M$2:$M$177,"有",数据清洗!$CQ$2:$CQ$177,5)</f>
        <v>27</v>
      </c>
      <c r="G8" s="2">
        <f>COUNTIFS(数据清洗!$E$2:$E$177,1,数据清洗!$M$2:$M$177,"有",数据清洗!$CQ$2:$CQ$177,"&lt;&gt;")</f>
        <v>33</v>
      </c>
      <c r="H8" s="5">
        <f t="shared" si="1"/>
        <v>0.818181818181818</v>
      </c>
      <c r="I8" s="2">
        <f>COUNTIFS(数据清洗!$E$2:$E$177,1,数据清洗!$M$2:$M$177,"有",数据清洗!$CS$2:$CS$177,4)+COUNTIFS(数据清洗!$E$2:$E$177,1,数据清洗!$M$2:$M$177,"有",数据清洗!$CS$2:$CS$177,5)</f>
        <v>22</v>
      </c>
      <c r="J8" s="2">
        <f>COUNTIFS(数据清洗!$E$2:$E$177,1,数据清洗!$M$2:$M$177,"有",数据清洗!$CS$2:$CS$177,"&lt;&gt;")</f>
        <v>33</v>
      </c>
      <c r="K8" s="5">
        <f t="shared" si="2"/>
        <v>0.666666666666667</v>
      </c>
      <c r="L8" s="3"/>
      <c r="M8" s="3"/>
      <c r="N8" s="3"/>
    </row>
    <row r="9" ht="42" customHeight="1" spans="1:14">
      <c r="A9" s="2" t="s">
        <v>170</v>
      </c>
      <c r="B9" s="2" t="s">
        <v>45</v>
      </c>
      <c r="C9" s="2">
        <f>COUNTIFS(数据清洗!$E$2:$E$177,1,数据清洗!$M$2:$M$177,"没有")</f>
        <v>43</v>
      </c>
      <c r="D9" s="2">
        <f>COUNTIFS(数据清洗!$E$2:$E$177,1,数据清洗!$M$2:$M$177,"没有",数据清洗!$M$2:$M$177,"有")</f>
        <v>0</v>
      </c>
      <c r="E9" s="5">
        <f t="shared" si="0"/>
        <v>0</v>
      </c>
      <c r="F9" s="2">
        <f>COUNTIFS(数据清洗!$E$2:$E$177,1,数据清洗!$M$2:$M$177,"没有",数据清洗!$CQ$2:$CQ$177,4)+COUNTIFS(数据清洗!$E$2:$E$177,1,数据清洗!$M$2:$M$177,"没有",数据清洗!$CQ$2:$CQ$177,5)</f>
        <v>18</v>
      </c>
      <c r="G9" s="2">
        <f>COUNTIFS(数据清洗!$E$2:$E$177,1,数据清洗!$M$2:$M$177,"没有",数据清洗!$CQ$2:$CQ$177,"&lt;&gt;")</f>
        <v>22</v>
      </c>
      <c r="H9" s="5">
        <f t="shared" si="1"/>
        <v>0.818181818181818</v>
      </c>
      <c r="I9" s="2">
        <f>COUNTIFS(数据清洗!$E$2:$E$177,1,数据清洗!$M$2:$M$177,"没有",数据清洗!$CS$2:$CS$177,4)+COUNTIFS(数据清洗!$E$2:$E$177,1,数据清洗!$M$2:$M$177,"没有",数据清洗!$CS$2:$CS$177,5)</f>
        <v>16</v>
      </c>
      <c r="J9" s="2">
        <f>COUNTIFS(数据清洗!$E$2:$E$177,1,数据清洗!$M$2:$M$177,"没有",数据清洗!$CS$2:$CS$177,"&lt;&gt;")</f>
        <v>25</v>
      </c>
      <c r="K9" s="5">
        <f t="shared" si="2"/>
        <v>0.64</v>
      </c>
      <c r="L9" s="3"/>
      <c r="M9" s="3"/>
      <c r="N9" s="3"/>
    </row>
    <row r="10" ht="42" customHeight="1" spans="1:14">
      <c r="A10" s="2" t="s">
        <v>170</v>
      </c>
      <c r="B10" s="2" t="s">
        <v>47</v>
      </c>
      <c r="C10" s="2">
        <f>COUNTIFS(数据清洗!$E$2:$E$177,1,数据清洗!$M$2:$M$177,"不确定")</f>
        <v>21</v>
      </c>
      <c r="D10" s="2">
        <f>COUNTIFS(数据清洗!$E$2:$E$177,1,数据清洗!$M$2:$M$177,"不确定",数据清洗!$M$2:$M$177,"有")</f>
        <v>0</v>
      </c>
      <c r="E10" s="5">
        <f t="shared" si="0"/>
        <v>0</v>
      </c>
      <c r="F10" s="2">
        <f>COUNTIFS(数据清洗!$E$2:$E$177,1,数据清洗!$M$2:$M$177,"不确定",数据清洗!$CQ$2:$CQ$177,4)+COUNTIFS(数据清洗!$E$2:$E$177,1,数据清洗!$M$2:$M$177,"不确定",数据清洗!$CQ$2:$CQ$177,5)</f>
        <v>2</v>
      </c>
      <c r="G10" s="2">
        <f>COUNTIFS(数据清洗!$E$2:$E$177,1,数据清洗!$M$2:$M$177,"不确定",数据清洗!$CQ$2:$CQ$177,"&lt;&gt;")</f>
        <v>4</v>
      </c>
      <c r="H10" s="5" t="str">
        <f t="shared" si="1"/>
        <v/>
      </c>
      <c r="I10" s="2">
        <f>COUNTIFS(数据清洗!$E$2:$E$177,1,数据清洗!$M$2:$M$177,"不确定",数据清洗!$CS$2:$CS$177,4)+COUNTIFS(数据清洗!$E$2:$E$177,1,数据清洗!$M$2:$M$177,"不确定",数据清洗!$CS$2:$CS$177,5)</f>
        <v>3</v>
      </c>
      <c r="J10" s="2">
        <f>COUNTIFS(数据清洗!$E$2:$E$177,1,数据清洗!$M$2:$M$177,"不确定",数据清洗!$CS$2:$CS$177,"&lt;&gt;")</f>
        <v>5</v>
      </c>
      <c r="K10" s="5">
        <f t="shared" si="2"/>
        <v>0.6</v>
      </c>
      <c r="L10" s="3"/>
      <c r="M10" s="3"/>
      <c r="N10" s="3"/>
    </row>
    <row r="11" ht="42" customHeight="1" spans="1:14">
      <c r="A11" s="2" t="s">
        <v>32</v>
      </c>
      <c r="B11" s="2" t="s">
        <v>35</v>
      </c>
      <c r="C11" s="2">
        <f>COUNTIFS(数据清洗!$E$2:$E$177,1,数据清洗!$J$2:$J$177,"几乎每天")</f>
        <v>39</v>
      </c>
      <c r="D11" s="2">
        <f>COUNTIFS(数据清洗!$E$2:$E$177,1,数据清洗!$J$2:$J$177,"几乎每天",数据清洗!$M$2:$M$177,"有")</f>
        <v>17</v>
      </c>
      <c r="E11" s="5">
        <f t="shared" si="0"/>
        <v>0.435897435897436</v>
      </c>
      <c r="F11" s="2">
        <f>COUNTIFS(数据清洗!$E$2:$E$177,1,数据清洗!$J$2:$J$177,"几乎每天",数据清洗!$CQ$2:$CQ$177,4)+COUNTIFS(数据清洗!$E$2:$E$177,1,数据清洗!$J$2:$J$177,"几乎每天",数据清洗!$CQ$2:$CQ$177,5)</f>
        <v>13</v>
      </c>
      <c r="G11" s="2">
        <f>COUNTIFS(数据清洗!$E$2:$E$177,1,数据清洗!$J$2:$J$177,"几乎每天",数据清洗!$CQ$2:$CQ$177,"&lt;&gt;")</f>
        <v>17</v>
      </c>
      <c r="H11" s="5">
        <f t="shared" si="1"/>
        <v>0.764705882352941</v>
      </c>
      <c r="I11" s="2">
        <f>COUNTIFS(数据清洗!$E$2:$E$177,1,数据清洗!$J$2:$J$177,"几乎每天",数据清洗!$CS$2:$CS$177,4)+COUNTIFS(数据清洗!$E$2:$E$177,1,数据清洗!$J$2:$J$177,"几乎每天",数据清洗!$CS$2:$CS$177,5)</f>
        <v>11</v>
      </c>
      <c r="J11" s="2">
        <f>COUNTIFS(数据清洗!$E$2:$E$177,1,数据清洗!$J$2:$J$177,"几乎每天",数据清洗!$CS$2:$CS$177,"&lt;&gt;")</f>
        <v>18</v>
      </c>
      <c r="K11" s="5">
        <f t="shared" si="2"/>
        <v>0.611111111111111</v>
      </c>
      <c r="L11" s="3"/>
      <c r="M11" s="3"/>
      <c r="N11" s="3"/>
    </row>
    <row r="12" ht="42" customHeight="1" spans="1:14">
      <c r="A12" s="2" t="s">
        <v>32</v>
      </c>
      <c r="B12" s="2" t="s">
        <v>37</v>
      </c>
      <c r="C12" s="2">
        <f>COUNTIFS(数据清洗!$E$2:$E$177,1,数据清洗!$J$2:$J$177,"每周3–6天")</f>
        <v>34</v>
      </c>
      <c r="D12" s="2">
        <f>COUNTIFS(数据清洗!$E$2:$E$177,1,数据清洗!$J$2:$J$177,"每周3–6天",数据清洗!$M$2:$M$177,"有")</f>
        <v>17</v>
      </c>
      <c r="E12" s="5">
        <f t="shared" si="0"/>
        <v>0.5</v>
      </c>
      <c r="F12" s="2">
        <f>COUNTIFS(数据清洗!$E$2:$E$177,1,数据清洗!$J$2:$J$177,"每周3–6天",数据清洗!$CQ$2:$CQ$177,4)+COUNTIFS(数据清洗!$E$2:$E$177,1,数据清洗!$J$2:$J$177,"每周3–6天",数据清洗!$CQ$2:$CQ$177,5)</f>
        <v>11</v>
      </c>
      <c r="G12" s="2">
        <f>COUNTIFS(数据清洗!$E$2:$E$177,1,数据清洗!$J$2:$J$177,"每周3–6天",数据清洗!$CQ$2:$CQ$177,"&lt;&gt;")</f>
        <v>14</v>
      </c>
      <c r="H12" s="5">
        <f t="shared" si="1"/>
        <v>0.785714285714286</v>
      </c>
      <c r="I12" s="2">
        <f>COUNTIFS(数据清洗!$E$2:$E$177,1,数据清洗!$J$2:$J$177,"每周3–6天",数据清洗!$CS$2:$CS$177,4)+COUNTIFS(数据清洗!$E$2:$E$177,1,数据清洗!$J$2:$J$177,"每周3–6天",数据清洗!$CS$2:$CS$177,5)</f>
        <v>9</v>
      </c>
      <c r="J12" s="2">
        <f>COUNTIFS(数据清洗!$E$2:$E$177,1,数据清洗!$J$2:$J$177,"每周3–6天",数据清洗!$CS$2:$CS$177,"&lt;&gt;")</f>
        <v>14</v>
      </c>
      <c r="K12" s="5">
        <f t="shared" si="2"/>
        <v>0.642857142857143</v>
      </c>
      <c r="L12" s="3"/>
      <c r="M12" s="3"/>
      <c r="N12" s="3"/>
    </row>
    <row r="13" ht="42" customHeight="1" spans="1:14">
      <c r="A13" s="2" t="s">
        <v>32</v>
      </c>
      <c r="B13" s="2" t="s">
        <v>34</v>
      </c>
      <c r="C13" s="2">
        <f>COUNTIFS(数据清洗!$E$2:$E$177,1,数据清洗!$J$2:$J$177,"每周1–2天")</f>
        <v>29</v>
      </c>
      <c r="D13" s="2">
        <f>COUNTIFS(数据清洗!$E$2:$E$177,1,数据清洗!$J$2:$J$177,"每周1–2天",数据清洗!$M$2:$M$177,"有")</f>
        <v>17</v>
      </c>
      <c r="E13" s="5">
        <f t="shared" si="0"/>
        <v>0.586206896551724</v>
      </c>
      <c r="F13" s="2">
        <f>COUNTIFS(数据清洗!$E$2:$E$177,1,数据清洗!$J$2:$J$177,"每周1–2天",数据清洗!$CQ$2:$CQ$177,4)+COUNTIFS(数据清洗!$E$2:$E$177,1,数据清洗!$J$2:$J$177,"每周1–2天",数据清洗!$CQ$2:$CQ$177,5)</f>
        <v>16</v>
      </c>
      <c r="G13" s="2">
        <f>COUNTIFS(数据清洗!$E$2:$E$177,1,数据清洗!$J$2:$J$177,"每周1–2天",数据清洗!$CQ$2:$CQ$177,"&lt;&gt;")</f>
        <v>20</v>
      </c>
      <c r="H13" s="5">
        <f t="shared" si="1"/>
        <v>0.8</v>
      </c>
      <c r="I13" s="2">
        <f>COUNTIFS(数据清洗!$E$2:$E$177,1,数据清洗!$J$2:$J$177,"每周1–2天",数据清洗!$CS$2:$CS$177,4)+COUNTIFS(数据清洗!$E$2:$E$177,1,数据清洗!$J$2:$J$177,"每周1–2天",数据清洗!$CS$2:$CS$177,5)</f>
        <v>15</v>
      </c>
      <c r="J13" s="2">
        <f>COUNTIFS(数据清洗!$E$2:$E$177,1,数据清洗!$J$2:$J$177,"每周1–2天",数据清洗!$CS$2:$CS$177,"&lt;&gt;")</f>
        <v>23</v>
      </c>
      <c r="K13" s="5">
        <f t="shared" si="2"/>
        <v>0.652173913043478</v>
      </c>
      <c r="L13" s="3"/>
      <c r="M13" s="3"/>
      <c r="N13" s="3"/>
    </row>
    <row r="14" ht="42" customHeight="1" spans="1:14">
      <c r="A14" s="2" t="s">
        <v>32</v>
      </c>
      <c r="B14" s="2" t="s">
        <v>36</v>
      </c>
      <c r="C14" s="2">
        <f>COUNTIFS(数据清洗!$E$2:$E$177,1,数据清洗!$J$2:$J$177,"少于每周1天")</f>
        <v>13</v>
      </c>
      <c r="D14" s="2">
        <f>COUNTIFS(数据清洗!$E$2:$E$177,1,数据清洗!$J$2:$J$177,"少于每周1天",数据清洗!$M$2:$M$177,"有")</f>
        <v>5</v>
      </c>
      <c r="E14" s="5">
        <f t="shared" si="0"/>
        <v>0.384615384615385</v>
      </c>
      <c r="F14" s="2">
        <f>COUNTIFS(数据清洗!$E$2:$E$177,1,数据清洗!$J$2:$J$177,"少于每周1天",数据清洗!$CQ$2:$CQ$177,4)+COUNTIFS(数据清洗!$E$2:$E$177,1,数据清洗!$J$2:$J$177,"少于每周1天",数据清洗!$CQ$2:$CQ$177,5)</f>
        <v>6</v>
      </c>
      <c r="G14" s="2">
        <f>COUNTIFS(数据清洗!$E$2:$E$177,1,数据清洗!$J$2:$J$177,"少于每周1天",数据清洗!$CQ$2:$CQ$177,"&lt;&gt;")</f>
        <v>7</v>
      </c>
      <c r="H14" s="5">
        <f t="shared" si="1"/>
        <v>0.857142857142857</v>
      </c>
      <c r="I14" s="2">
        <f>COUNTIFS(数据清洗!$E$2:$E$177,1,数据清洗!$J$2:$J$177,"少于每周1天",数据清洗!$CS$2:$CS$177,4)+COUNTIFS(数据清洗!$E$2:$E$177,1,数据清洗!$J$2:$J$177,"少于每周1天",数据清洗!$CS$2:$CS$177,5)</f>
        <v>6</v>
      </c>
      <c r="J14" s="2">
        <f>COUNTIFS(数据清洗!$E$2:$E$177,1,数据清洗!$J$2:$J$177,"少于每周1天",数据清洗!$CS$2:$CS$177,"&lt;&gt;")</f>
        <v>7</v>
      </c>
      <c r="K14" s="5">
        <f t="shared" si="2"/>
        <v>0.857142857142857</v>
      </c>
      <c r="L14" s="3"/>
      <c r="M14" s="3"/>
      <c r="N14" s="3"/>
    </row>
    <row r="15" ht="42" customHeight="1" spans="1:14">
      <c r="A15" s="2" t="s">
        <v>32</v>
      </c>
      <c r="B15" s="2" t="s">
        <v>38</v>
      </c>
      <c r="C15" s="2">
        <f>COUNTIFS(数据清洗!$E$2:$E$177,1,数据清洗!$J$2:$J$177,"过去3个月没有使用过")</f>
        <v>2</v>
      </c>
      <c r="D15" s="2">
        <f>COUNTIFS(数据清洗!$E$2:$E$177,1,数据清洗!$J$2:$J$177,"过去3个月没有使用过",数据清洗!$M$2:$M$177,"有")</f>
        <v>0</v>
      </c>
      <c r="E15" s="5" t="str">
        <f t="shared" si="0"/>
        <v/>
      </c>
      <c r="F15" s="2">
        <f>COUNTIFS(数据清洗!$E$2:$E$177,1,数据清洗!$J$2:$J$177,"过去3个月没有使用过",数据清洗!$CQ$2:$CQ$177,4)+COUNTIFS(数据清洗!$E$2:$E$177,1,数据清洗!$J$2:$J$177,"过去3个月没有使用过",数据清洗!$CQ$2:$CQ$177,5)</f>
        <v>0</v>
      </c>
      <c r="G15" s="2">
        <f>COUNTIFS(数据清洗!$E$2:$E$177,1,数据清洗!$J$2:$J$177,"过去3个月没有使用过",数据清洗!$CQ$2:$CQ$177,"&lt;&gt;")</f>
        <v>0</v>
      </c>
      <c r="H15" s="5" t="str">
        <f t="shared" si="1"/>
        <v/>
      </c>
      <c r="I15" s="2">
        <f>COUNTIFS(数据清洗!$E$2:$E$177,1,数据清洗!$J$2:$J$177,"过去3个月没有使用过",数据清洗!$CS$2:$CS$177,4)+COUNTIFS(数据清洗!$E$2:$E$177,1,数据清洗!$J$2:$J$177,"过去3个月没有使用过",数据清洗!$CS$2:$CS$177,5)</f>
        <v>0</v>
      </c>
      <c r="J15" s="2">
        <f>COUNTIFS(数据清洗!$E$2:$E$177,1,数据清洗!$J$2:$J$177,"过去3个月没有使用过",数据清洗!$CS$2:$CS$177,"&lt;&gt;")</f>
        <v>0</v>
      </c>
      <c r="K15" s="5" t="str">
        <f t="shared" si="2"/>
        <v/>
      </c>
      <c r="L15" s="3"/>
      <c r="M15" s="3"/>
      <c r="N15" s="3"/>
    </row>
    <row r="16" ht="42" customHeight="1" spans="1:14">
      <c r="A16" s="2" t="s">
        <v>32</v>
      </c>
      <c r="B16" s="2" t="s">
        <v>33</v>
      </c>
      <c r="C16" s="2">
        <f>COUNTIFS(数据清洗!$E$2:$E$177,1,数据清洗!$J$2:$J$177,"从未使用过B站")</f>
        <v>5</v>
      </c>
      <c r="D16" s="2">
        <f>COUNTIFS(数据清洗!$E$2:$E$177,1,数据清洗!$J$2:$J$177,"从未使用过B站",数据清洗!$M$2:$M$177,"有")</f>
        <v>2</v>
      </c>
      <c r="E16" s="5">
        <f t="shared" si="0"/>
        <v>0.4</v>
      </c>
      <c r="F16" s="2">
        <f>COUNTIFS(数据清洗!$E$2:$E$177,1,数据清洗!$J$2:$J$177,"从未使用过B站",数据清洗!$CQ$2:$CQ$177,4)+COUNTIFS(数据清洗!$E$2:$E$177,1,数据清洗!$J$2:$J$177,"从未使用过B站",数据清洗!$CQ$2:$CQ$177,5)</f>
        <v>1</v>
      </c>
      <c r="G16" s="2">
        <f>COUNTIFS(数据清洗!$E$2:$E$177,1,数据清洗!$J$2:$J$177,"从未使用过B站",数据清洗!$CQ$2:$CQ$177,"&lt;&gt;")</f>
        <v>1</v>
      </c>
      <c r="H16" s="5" t="str">
        <f t="shared" si="1"/>
        <v/>
      </c>
      <c r="I16" s="2">
        <f>COUNTIFS(数据清洗!$E$2:$E$177,1,数据清洗!$J$2:$J$177,"从未使用过B站",数据清洗!$CS$2:$CS$177,4)+COUNTIFS(数据清洗!$E$2:$E$177,1,数据清洗!$J$2:$J$177,"从未使用过B站",数据清洗!$CS$2:$CS$177,5)</f>
        <v>0</v>
      </c>
      <c r="J16" s="2">
        <f>COUNTIFS(数据清洗!$E$2:$E$177,1,数据清洗!$J$2:$J$177,"从未使用过B站",数据清洗!$CS$2:$CS$177,"&lt;&gt;")</f>
        <v>1</v>
      </c>
      <c r="K16" s="5" t="str">
        <f t="shared" si="2"/>
        <v/>
      </c>
      <c r="L16" s="3"/>
      <c r="M16" s="3"/>
      <c r="N16" s="3"/>
    </row>
    <row r="17" ht="42" customHeight="1" spans="1:14">
      <c r="A17" s="2" t="s">
        <v>171</v>
      </c>
      <c r="B17" s="2" t="s">
        <v>84</v>
      </c>
      <c r="C17" s="2">
        <f>COUNTIFS(数据清洗!$E$2:$E$177,1,数据清洗!$X$2:$X$177,"出售尝试记录")</f>
        <v>28</v>
      </c>
      <c r="D17" s="2">
        <f>COUNTIFS(数据清洗!$E$2:$E$177,1,数据清洗!$X$2:$X$177,"出售尝试记录",数据清洗!$M$2:$M$177,"有")</f>
        <v>20</v>
      </c>
      <c r="E17" s="5">
        <f t="shared" si="0"/>
        <v>0.714285714285714</v>
      </c>
      <c r="F17" s="2">
        <f>COUNTIFS(数据清洗!$E$2:$E$177,1,数据清洗!$X$2:$X$177,"出售尝试记录",数据清洗!$CQ$2:$CQ$177,4)+COUNTIFS(数据清洗!$E$2:$E$177,1,数据清洗!$X$2:$X$177,"出售尝试记录",数据清洗!$CQ$2:$CQ$177,5)</f>
        <v>21</v>
      </c>
      <c r="G17" s="2">
        <f>COUNTIFS(数据清洗!$E$2:$E$177,1,数据清洗!$X$2:$X$177,"出售尝试记录",数据清洗!$CQ$2:$CQ$177,"&lt;&gt;")</f>
        <v>23</v>
      </c>
      <c r="H17" s="5">
        <f t="shared" si="1"/>
        <v>0.91304347826087</v>
      </c>
      <c r="I17" s="2">
        <f>COUNTIFS(数据清洗!$E$2:$E$177,1,数据清洗!$X$2:$X$177,"出售尝试记录",数据清洗!$CS$2:$CS$177,4)+COUNTIFS(数据清洗!$E$2:$E$177,1,数据清洗!$X$2:$X$177,"出售尝试记录",数据清洗!$CS$2:$CS$177,5)</f>
        <v>11</v>
      </c>
      <c r="J17" s="2">
        <f>COUNTIFS(数据清洗!$E$2:$E$177,1,数据清洗!$X$2:$X$177,"出售尝试记录",数据清洗!$CS$2:$CS$177,"&lt;&gt;")</f>
        <v>22</v>
      </c>
      <c r="K17" s="5">
        <f t="shared" si="2"/>
        <v>0.5</v>
      </c>
      <c r="L17" s="3"/>
      <c r="M17" s="3"/>
      <c r="N17" s="3"/>
    </row>
    <row r="18" ht="42" customHeight="1" spans="1:14">
      <c r="A18" s="2" t="s">
        <v>171</v>
      </c>
      <c r="B18" s="2" t="s">
        <v>83</v>
      </c>
      <c r="C18" s="2">
        <f>COUNTIFS(数据清洗!$E$2:$E$177,1,数据清洗!$X$2:$X$177,"交换尝试记录")</f>
        <v>40</v>
      </c>
      <c r="D18" s="2">
        <f>COUNTIFS(数据清洗!$E$2:$E$177,1,数据清洗!$X$2:$X$177,"交换尝试记录",数据清洗!$M$2:$M$177,"有")</f>
        <v>17</v>
      </c>
      <c r="E18" s="5">
        <f t="shared" si="0"/>
        <v>0.425</v>
      </c>
      <c r="F18" s="2">
        <f>COUNTIFS(数据清洗!$E$2:$E$177,1,数据清洗!$X$2:$X$177,"交换尝试记录",数据清洗!$CQ$2:$CQ$177,4)+COUNTIFS(数据清洗!$E$2:$E$177,1,数据清洗!$X$2:$X$177,"交换尝试记录",数据清洗!$CQ$2:$CQ$177,5)</f>
        <v>23</v>
      </c>
      <c r="G18" s="2">
        <f>COUNTIFS(数据清洗!$E$2:$E$177,1,数据清洗!$X$2:$X$177,"交换尝试记录",数据清洗!$CQ$2:$CQ$177,"&lt;&gt;")</f>
        <v>31</v>
      </c>
      <c r="H18" s="5">
        <f t="shared" si="1"/>
        <v>0.741935483870968</v>
      </c>
      <c r="I18" s="2">
        <f>COUNTIFS(数据清洗!$E$2:$E$177,1,数据清洗!$X$2:$X$177,"交换尝试记录",数据清洗!$CS$2:$CS$177,4)+COUNTIFS(数据清洗!$E$2:$E$177,1,数据清洗!$X$2:$X$177,"交换尝试记录",数据清洗!$CS$2:$CS$177,5)</f>
        <v>27</v>
      </c>
      <c r="J18" s="2">
        <f>COUNTIFS(数据清洗!$E$2:$E$177,1,数据清洗!$X$2:$X$177,"交换尝试记录",数据清洗!$CS$2:$CS$177,"&lt;&gt;")</f>
        <v>36</v>
      </c>
      <c r="K18" s="5">
        <f t="shared" si="2"/>
        <v>0.75</v>
      </c>
      <c r="L18" s="3"/>
      <c r="M18" s="3"/>
      <c r="N18" s="3"/>
    </row>
    <row r="19" ht="42" customHeight="1" spans="1:14">
      <c r="A19" s="2" t="s">
        <v>171</v>
      </c>
      <c r="B19" s="2" t="s">
        <v>86</v>
      </c>
      <c r="C19" s="2">
        <f>COUNTIFS(数据清洗!$E$2:$E$177,1,数据清洗!$X$2:$X$177,"明确均未尝试")</f>
        <v>41</v>
      </c>
      <c r="D19" s="2">
        <f>COUNTIFS(数据清洗!$E$2:$E$177,1,数据清洗!$X$2:$X$177,"明确均未尝试",数据清洗!$M$2:$M$177,"有")</f>
        <v>9</v>
      </c>
      <c r="E19" s="5">
        <f t="shared" si="0"/>
        <v>0.219512195121951</v>
      </c>
      <c r="F19" s="2">
        <f>COUNTIFS(数据清洗!$E$2:$E$177,1,数据清洗!$X$2:$X$177,"明确均未尝试",数据清洗!$CQ$2:$CQ$177,4)+COUNTIFS(数据清洗!$E$2:$E$177,1,数据清洗!$X$2:$X$177,"明确均未尝试",数据清洗!$CQ$2:$CQ$177,5)</f>
        <v>1</v>
      </c>
      <c r="G19" s="2">
        <f>COUNTIFS(数据清洗!$E$2:$E$177,1,数据清洗!$X$2:$X$177,"明确均未尝试",数据清洗!$CQ$2:$CQ$177,"&lt;&gt;")</f>
        <v>2</v>
      </c>
      <c r="H19" s="5" t="str">
        <f t="shared" si="1"/>
        <v/>
      </c>
      <c r="I19" s="2">
        <f>COUNTIFS(数据清洗!$E$2:$E$177,1,数据清洗!$X$2:$X$177,"明确均未尝试",数据清洗!$CS$2:$CS$177,4)+COUNTIFS(数据清洗!$E$2:$E$177,1,数据清洗!$X$2:$X$177,"明确均未尝试",数据清洗!$CS$2:$CS$177,5)</f>
        <v>1</v>
      </c>
      <c r="J19" s="2">
        <f>COUNTIFS(数据清洗!$E$2:$E$177,1,数据清洗!$X$2:$X$177,"明确均未尝试",数据清洗!$CS$2:$CS$177,"&lt;&gt;")</f>
        <v>2</v>
      </c>
      <c r="K19" s="5" t="str">
        <f t="shared" si="2"/>
        <v/>
      </c>
      <c r="L19" s="3"/>
      <c r="M19" s="3"/>
      <c r="N19" s="3"/>
    </row>
    <row r="20" ht="42" customHeight="1" spans="1:14">
      <c r="A20" s="2" t="s">
        <v>171</v>
      </c>
      <c r="B20" s="2" t="s">
        <v>85</v>
      </c>
      <c r="C20" s="2">
        <f>COUNTIFS(数据清洗!$E$2:$E$177,1,数据清洗!$X$2:$X$177,"无法判断")</f>
        <v>13</v>
      </c>
      <c r="D20" s="2">
        <f>COUNTIFS(数据清洗!$E$2:$E$177,1,数据清洗!$X$2:$X$177,"无法判断",数据清洗!$M$2:$M$177,"有")</f>
        <v>12</v>
      </c>
      <c r="E20" s="5">
        <f t="shared" si="0"/>
        <v>0.923076923076923</v>
      </c>
      <c r="F20" s="2">
        <f>COUNTIFS(数据清洗!$E$2:$E$177,1,数据清洗!$X$2:$X$177,"无法判断",数据清洗!$CQ$2:$CQ$177,4)+COUNTIFS(数据清洗!$E$2:$E$177,1,数据清洗!$X$2:$X$177,"无法判断",数据清洗!$CQ$2:$CQ$177,5)</f>
        <v>2</v>
      </c>
      <c r="G20" s="2">
        <f>COUNTIFS(数据清洗!$E$2:$E$177,1,数据清洗!$X$2:$X$177,"无法判断",数据清洗!$CQ$2:$CQ$177,"&lt;&gt;")</f>
        <v>3</v>
      </c>
      <c r="H20" s="5" t="str">
        <f t="shared" si="1"/>
        <v/>
      </c>
      <c r="I20" s="2">
        <f>COUNTIFS(数据清洗!$E$2:$E$177,1,数据清洗!$X$2:$X$177,"无法判断",数据清洗!$CS$2:$CS$177,4)+COUNTIFS(数据清洗!$E$2:$E$177,1,数据清洗!$X$2:$X$177,"无法判断",数据清洗!$CS$2:$CS$177,5)</f>
        <v>2</v>
      </c>
      <c r="J20" s="2">
        <f>COUNTIFS(数据清洗!$E$2:$E$177,1,数据清洗!$X$2:$X$177,"无法判断",数据清洗!$CS$2:$CS$177,"&lt;&gt;")</f>
        <v>3</v>
      </c>
      <c r="K20" s="5" t="str">
        <f t="shared" si="2"/>
        <v/>
      </c>
      <c r="L20" s="3"/>
      <c r="M20" s="3"/>
      <c r="N20" s="3"/>
    </row>
    <row r="21" ht="25" customHeight="1" spans="1:14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25" customHeight="1" spans="1:14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25" customHeight="1" spans="1:14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25" customHeight="1" spans="1:1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32" customHeight="1" spans="1:14">
      <c r="A25" s="1" t="s">
        <v>172</v>
      </c>
      <c r="B25" s="1" t="s">
        <v>173</v>
      </c>
      <c r="C25" s="1" t="s">
        <v>174</v>
      </c>
      <c r="D25" s="1" t="s">
        <v>175</v>
      </c>
      <c r="E25" s="1" t="s">
        <v>176</v>
      </c>
      <c r="F25" s="1" t="s">
        <v>177</v>
      </c>
      <c r="G25" s="1" t="s">
        <v>178</v>
      </c>
      <c r="H25" s="1" t="s">
        <v>179</v>
      </c>
      <c r="I25" s="3"/>
      <c r="J25" s="3"/>
      <c r="K25" s="3"/>
      <c r="L25" s="3"/>
      <c r="M25" s="3"/>
      <c r="N25" s="3"/>
    </row>
    <row r="26" ht="25" customHeight="1" spans="1:14">
      <c r="A26" s="3" t="s">
        <v>180</v>
      </c>
      <c r="B26" s="3">
        <f>COUNTIFS(数据清洗!$E$2:$E$177,1,数据清洗!$L$2:$L$177,1)</f>
        <v>94</v>
      </c>
      <c r="C26" s="3">
        <f>COUNTIFS(数据清洗!$E$2:$E$177,1)</f>
        <v>122</v>
      </c>
      <c r="D26" s="6">
        <f>B26/C26</f>
        <v>0.770491803278688</v>
      </c>
      <c r="E26" s="3">
        <f>COUNTIFS(数据清洗!$D$2:$D$177,1,数据清洗!$L$2:$L$177,1)</f>
        <v>115</v>
      </c>
      <c r="F26" s="3">
        <f>COUNTIFS(数据清洗!$D$2:$D$177,1)</f>
        <v>175</v>
      </c>
      <c r="G26" s="6">
        <f>E26/F26</f>
        <v>0.657142857142857</v>
      </c>
      <c r="H26" s="7">
        <f>(D26-G26)*100</f>
        <v>11.3348946135831</v>
      </c>
      <c r="I26" s="3"/>
      <c r="J26" s="3"/>
      <c r="K26" s="3"/>
      <c r="L26" s="3"/>
      <c r="M26" s="3"/>
      <c r="N26" s="3"/>
    </row>
    <row r="27" ht="25" customHeight="1" spans="1:14">
      <c r="A27" s="3" t="s">
        <v>181</v>
      </c>
      <c r="B27" s="3">
        <f>COUNTIFS(数据清洗!$E$2:$E$177,1,数据清洗!$M$2:$M$177,"有")</f>
        <v>58</v>
      </c>
      <c r="C27" s="3">
        <f>COUNTIFS(数据清洗!$E$2:$E$177,1)</f>
        <v>122</v>
      </c>
      <c r="D27" s="6">
        <f>B27/C27</f>
        <v>0.475409836065574</v>
      </c>
      <c r="E27" s="3">
        <f>COUNTIFS(数据清洗!$D$2:$D$177,1,数据清洗!$M$2:$M$177,"有")</f>
        <v>75</v>
      </c>
      <c r="F27" s="3">
        <f>COUNTIFS(数据清洗!$D$2:$D$177,1)</f>
        <v>175</v>
      </c>
      <c r="G27" s="6">
        <f>E27/F27</f>
        <v>0.428571428571429</v>
      </c>
      <c r="H27" s="7">
        <f>(D27-G27)*100</f>
        <v>4.68384074941452</v>
      </c>
      <c r="I27" s="3"/>
      <c r="J27" s="3"/>
      <c r="K27" s="3"/>
      <c r="L27" s="3"/>
      <c r="M27" s="3"/>
      <c r="N27" s="3"/>
    </row>
    <row r="28" ht="25" customHeight="1" spans="1:14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40" customHeight="1" spans="1:14">
      <c r="A29" s="2" t="s">
        <v>182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3"/>
      <c r="N29" s="3"/>
    </row>
    <row r="30" ht="25" customHeight="1" spans="1:14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25" customHeight="1" spans="1:14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25" customHeight="1" spans="1:14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25" customHeight="1" spans="1:14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25" customHeight="1" spans="1:1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25" customHeight="1" spans="1:14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25" customHeight="1" spans="1:1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25" customHeight="1" spans="1:1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25" customHeight="1" spans="1:14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25" customHeight="1" spans="1:14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25" customHeight="1" spans="1:14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25" customHeight="1" spans="1:14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25" customHeight="1" spans="1:14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25" customHeight="1" spans="1:14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25" customHeight="1" spans="1:1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25" customHeight="1" spans="1:1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25" customHeight="1" spans="1:1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25" customHeight="1" spans="1:1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25" customHeight="1" spans="1:1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25" customHeight="1" spans="1:1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25" customHeight="1" spans="1:1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25" customHeight="1" spans="1:1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25" customHeight="1" spans="1:1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25" customHeight="1" spans="1:1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25" customHeight="1" spans="1:1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25" customHeight="1" spans="1:1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25" customHeight="1" spans="1:1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25" customHeight="1" spans="1:1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25" customHeight="1" spans="1:1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25" customHeight="1" spans="1:1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25" customHeight="1" spans="1:1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25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25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25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25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2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25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25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25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25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25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25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25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25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25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2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25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25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25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25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25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25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25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25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25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2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25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25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25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25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25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25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25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25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25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2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25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25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25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25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25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25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25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25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25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2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25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25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25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25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25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25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25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25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25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2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25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25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25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25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25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25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25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25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25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25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25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25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25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25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25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25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25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25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2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25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25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25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25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25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25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25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25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25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2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25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25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25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25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25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25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25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25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25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2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25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25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25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25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25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25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25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25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25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2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25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25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25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25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25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25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25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25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25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2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25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25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25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25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25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25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25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25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25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2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25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25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25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25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25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25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25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25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25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2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25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25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25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25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25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25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25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ht="25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ht="25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ht="2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ht="25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ht="25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ht="25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ht="25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ht="25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ht="25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ht="25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ht="25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ht="25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ht="2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ht="25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ht="25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ht="25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ht="25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ht="25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ht="25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ht="25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ht="25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ht="25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ht="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ht="25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ht="25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ht="25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ht="25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ht="25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ht="25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ht="25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ht="25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ht="25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ht="2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ht="25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ht="25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ht="25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ht="25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ht="25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ht="25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ht="25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ht="25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ht="25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ht="2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ht="25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ht="25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ht="25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ht="25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ht="25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ht="25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ht="25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ht="25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ht="25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ht="2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ht="25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ht="25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ht="25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ht="25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ht="25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</sheetData>
  <mergeCells count="3">
    <mergeCell ref="A1:G1"/>
    <mergeCell ref="A2:G2"/>
    <mergeCell ref="A29:K2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400"/>
  <sheetViews>
    <sheetView tabSelected="1" workbookViewId="0">
      <pane xSplit="1" ySplit="1" topLeftCell="B3" activePane="bottomRight" state="frozen"/>
      <selection/>
      <selection pane="topRight"/>
      <selection pane="bottomLeft"/>
      <selection pane="bottomRight" activeCell="K307" sqref="K307"/>
    </sheetView>
  </sheetViews>
  <sheetFormatPr defaultColWidth="9" defaultRowHeight="14"/>
  <cols>
    <col min="1" max="15" width="16" customWidth="1"/>
    <col min="16" max="16" width="66" customWidth="1"/>
    <col min="17" max="102" width="16" customWidth="1"/>
  </cols>
  <sheetData>
    <row r="1" ht="32" customHeight="1" spans="1:102">
      <c r="A1" s="1" t="s">
        <v>183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  <c r="AD1" s="1" t="s">
        <v>212</v>
      </c>
      <c r="AE1" s="1" t="s">
        <v>213</v>
      </c>
      <c r="AF1" s="1" t="s">
        <v>214</v>
      </c>
      <c r="AG1" s="1" t="s">
        <v>215</v>
      </c>
      <c r="AH1" s="1" t="s">
        <v>216</v>
      </c>
      <c r="AI1" s="1" t="s">
        <v>217</v>
      </c>
      <c r="AJ1" s="1" t="s">
        <v>218</v>
      </c>
      <c r="AK1" s="1" t="s">
        <v>219</v>
      </c>
      <c r="AL1" s="1" t="s">
        <v>220</v>
      </c>
      <c r="AM1" s="1" t="s">
        <v>221</v>
      </c>
      <c r="AN1" s="1" t="s">
        <v>222</v>
      </c>
      <c r="AO1" s="1" t="s">
        <v>223</v>
      </c>
      <c r="AP1" s="1" t="s">
        <v>224</v>
      </c>
      <c r="AQ1" s="1" t="s">
        <v>225</v>
      </c>
      <c r="AR1" s="1" t="s">
        <v>226</v>
      </c>
      <c r="AS1" s="1" t="s">
        <v>227</v>
      </c>
      <c r="AT1" s="1" t="s">
        <v>228</v>
      </c>
      <c r="AU1" s="1" t="s">
        <v>229</v>
      </c>
      <c r="AV1" s="1" t="s">
        <v>230</v>
      </c>
      <c r="AW1" s="1" t="s">
        <v>231</v>
      </c>
      <c r="AX1" s="1" t="s">
        <v>232</v>
      </c>
      <c r="AY1" s="1" t="s">
        <v>233</v>
      </c>
      <c r="AZ1" s="1" t="s">
        <v>234</v>
      </c>
      <c r="BA1" s="1" t="s">
        <v>235</v>
      </c>
      <c r="BB1" s="1" t="s">
        <v>236</v>
      </c>
      <c r="BC1" s="1" t="s">
        <v>237</v>
      </c>
      <c r="BD1" s="1" t="s">
        <v>238</v>
      </c>
      <c r="BE1" s="1" t="s">
        <v>239</v>
      </c>
      <c r="BF1" s="1" t="s">
        <v>240</v>
      </c>
      <c r="BG1" s="1" t="s">
        <v>241</v>
      </c>
      <c r="BH1" s="1" t="s">
        <v>242</v>
      </c>
      <c r="BI1" s="1" t="s">
        <v>243</v>
      </c>
      <c r="BJ1" s="1" t="s">
        <v>244</v>
      </c>
      <c r="BK1" s="1" t="s">
        <v>245</v>
      </c>
      <c r="BL1" s="1" t="s">
        <v>246</v>
      </c>
      <c r="BM1" s="1" t="s">
        <v>247</v>
      </c>
      <c r="BN1" s="1" t="s">
        <v>248</v>
      </c>
      <c r="BO1" s="1" t="s">
        <v>249</v>
      </c>
      <c r="BP1" s="1" t="s">
        <v>250</v>
      </c>
      <c r="BQ1" s="1" t="s">
        <v>251</v>
      </c>
      <c r="BR1" s="1" t="s">
        <v>252</v>
      </c>
      <c r="BS1" s="1" t="s">
        <v>253</v>
      </c>
      <c r="BT1" s="1" t="s">
        <v>254</v>
      </c>
      <c r="BU1" s="1" t="s">
        <v>255</v>
      </c>
      <c r="BV1" s="1" t="s">
        <v>256</v>
      </c>
      <c r="BW1" s="1" t="s">
        <v>257</v>
      </c>
      <c r="BX1" s="1" t="s">
        <v>258</v>
      </c>
      <c r="BY1" s="1" t="s">
        <v>259</v>
      </c>
      <c r="BZ1" s="1" t="s">
        <v>260</v>
      </c>
      <c r="CA1" s="1" t="s">
        <v>261</v>
      </c>
      <c r="CB1" s="1" t="s">
        <v>262</v>
      </c>
      <c r="CC1" s="1" t="s">
        <v>263</v>
      </c>
      <c r="CD1" s="1" t="s">
        <v>264</v>
      </c>
      <c r="CE1" s="1" t="s">
        <v>265</v>
      </c>
      <c r="CF1" s="1" t="s">
        <v>266</v>
      </c>
      <c r="CG1" s="1" t="s">
        <v>267</v>
      </c>
      <c r="CH1" s="1" t="s">
        <v>268</v>
      </c>
      <c r="CI1" s="1" t="s">
        <v>269</v>
      </c>
      <c r="CJ1" s="1" t="s">
        <v>270</v>
      </c>
      <c r="CK1" s="1" t="s">
        <v>271</v>
      </c>
      <c r="CL1" s="1" t="s">
        <v>272</v>
      </c>
      <c r="CM1" s="1" t="s">
        <v>273</v>
      </c>
      <c r="CN1" s="1" t="s">
        <v>274</v>
      </c>
      <c r="CO1" s="1" t="s">
        <v>275</v>
      </c>
      <c r="CP1" s="1" t="s">
        <v>276</v>
      </c>
      <c r="CQ1" s="1" t="s">
        <v>277</v>
      </c>
      <c r="CR1" s="1" t="s">
        <v>278</v>
      </c>
      <c r="CS1" s="1" t="s">
        <v>279</v>
      </c>
      <c r="CT1" s="1" t="s">
        <v>280</v>
      </c>
      <c r="CU1" s="1" t="s">
        <v>281</v>
      </c>
      <c r="CV1" s="1" t="s">
        <v>282</v>
      </c>
      <c r="CW1" s="1" t="s">
        <v>283</v>
      </c>
      <c r="CX1" s="1" t="s">
        <v>284</v>
      </c>
    </row>
    <row r="2" ht="46" customHeight="1" spans="1:102">
      <c r="A2" s="2" t="s">
        <v>285</v>
      </c>
      <c r="B2" s="2">
        <v>2</v>
      </c>
      <c r="C2" s="2" t="s">
        <v>286</v>
      </c>
      <c r="D2" s="2">
        <v>1</v>
      </c>
      <c r="E2" s="2">
        <v>1</v>
      </c>
      <c r="F2" s="2">
        <v>982</v>
      </c>
      <c r="G2" s="2" t="s">
        <v>11</v>
      </c>
      <c r="H2" s="2" t="s">
        <v>23</v>
      </c>
      <c r="I2" s="2" t="s">
        <v>27</v>
      </c>
      <c r="J2" s="2" t="s">
        <v>33</v>
      </c>
      <c r="K2" s="2" t="s">
        <v>42</v>
      </c>
      <c r="L2" s="2">
        <v>1</v>
      </c>
      <c r="M2" s="2" t="s">
        <v>43</v>
      </c>
      <c r="N2" s="2" t="s">
        <v>287</v>
      </c>
      <c r="O2" s="2">
        <v>0</v>
      </c>
      <c r="P2" s="2" t="s">
        <v>288</v>
      </c>
      <c r="Q2" s="2">
        <v>0</v>
      </c>
      <c r="R2" s="2">
        <v>0</v>
      </c>
      <c r="S2" s="2">
        <v>0</v>
      </c>
      <c r="T2" s="2">
        <v>1</v>
      </c>
      <c r="U2" s="2">
        <v>1</v>
      </c>
      <c r="V2" s="2" t="s">
        <v>289</v>
      </c>
      <c r="W2" s="2" t="s">
        <v>290</v>
      </c>
      <c r="X2" s="2" t="s">
        <v>83</v>
      </c>
      <c r="Y2" s="2">
        <v>1</v>
      </c>
      <c r="Z2" s="2">
        <v>1</v>
      </c>
      <c r="AA2" s="2">
        <v>0</v>
      </c>
      <c r="AB2" s="2">
        <v>0</v>
      </c>
      <c r="AC2" s="2">
        <v>1</v>
      </c>
      <c r="AD2" s="2">
        <v>1</v>
      </c>
      <c r="AE2" s="2">
        <v>1</v>
      </c>
      <c r="AF2" s="2">
        <v>0</v>
      </c>
      <c r="AG2" s="2">
        <v>1</v>
      </c>
      <c r="AH2" s="2">
        <v>0</v>
      </c>
      <c r="AI2" s="2">
        <v>0</v>
      </c>
      <c r="AJ2" s="2">
        <v>0</v>
      </c>
      <c r="AK2" s="2">
        <v>1</v>
      </c>
      <c r="AL2" s="2">
        <v>0</v>
      </c>
      <c r="AM2" s="2">
        <v>1</v>
      </c>
      <c r="AN2" s="2">
        <v>0</v>
      </c>
      <c r="AO2" s="2">
        <v>0</v>
      </c>
      <c r="AP2" s="2">
        <v>1</v>
      </c>
      <c r="AQ2" s="2">
        <v>1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1</v>
      </c>
      <c r="BE2" s="2">
        <v>0</v>
      </c>
      <c r="BF2" s="2">
        <v>1</v>
      </c>
      <c r="BG2" s="2">
        <v>0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>
        <v>1</v>
      </c>
      <c r="BV2" s="2">
        <v>0</v>
      </c>
      <c r="BW2" s="2">
        <v>1</v>
      </c>
      <c r="BX2" s="2">
        <v>1</v>
      </c>
      <c r="BY2" s="2">
        <v>0</v>
      </c>
      <c r="BZ2" s="2">
        <v>0</v>
      </c>
      <c r="CA2" s="2">
        <v>0</v>
      </c>
      <c r="CB2" s="2">
        <v>1</v>
      </c>
      <c r="CC2" s="2">
        <v>1</v>
      </c>
      <c r="CD2" s="2">
        <v>1</v>
      </c>
      <c r="CE2" s="2">
        <v>0</v>
      </c>
      <c r="CF2" s="2">
        <v>0</v>
      </c>
      <c r="CG2" s="2"/>
      <c r="CH2" s="2"/>
      <c r="CI2" s="2"/>
      <c r="CJ2" s="2"/>
      <c r="CK2" s="2"/>
      <c r="CL2" s="2"/>
      <c r="CM2" s="2"/>
      <c r="CN2" s="2"/>
      <c r="CO2" s="2"/>
      <c r="CP2" s="2"/>
      <c r="CQ2" s="2">
        <v>5</v>
      </c>
      <c r="CR2" s="2" t="s">
        <v>146</v>
      </c>
      <c r="CS2" s="2">
        <v>3</v>
      </c>
      <c r="CT2" s="2" t="s">
        <v>47</v>
      </c>
      <c r="CU2" s="2">
        <v>4</v>
      </c>
      <c r="CV2" s="2" t="s">
        <v>145</v>
      </c>
      <c r="CW2" s="2">
        <v>5</v>
      </c>
      <c r="CX2" s="2" t="s">
        <v>146</v>
      </c>
    </row>
    <row r="3" ht="46" customHeight="1" spans="1:102">
      <c r="A3" s="2" t="s">
        <v>291</v>
      </c>
      <c r="B3" s="2">
        <v>3</v>
      </c>
      <c r="C3" s="2" t="s">
        <v>286</v>
      </c>
      <c r="D3" s="2">
        <v>1</v>
      </c>
      <c r="E3" s="2">
        <v>1</v>
      </c>
      <c r="F3" s="2">
        <v>733</v>
      </c>
      <c r="G3" s="2" t="s">
        <v>9</v>
      </c>
      <c r="H3" s="2" t="s">
        <v>24</v>
      </c>
      <c r="I3" s="2" t="s">
        <v>28</v>
      </c>
      <c r="J3" s="2" t="s">
        <v>34</v>
      </c>
      <c r="K3" s="2" t="s">
        <v>44</v>
      </c>
      <c r="L3" s="2">
        <v>1</v>
      </c>
      <c r="M3" s="2" t="s">
        <v>43</v>
      </c>
      <c r="N3" s="2" t="s">
        <v>287</v>
      </c>
      <c r="O3" s="2">
        <v>0</v>
      </c>
      <c r="P3" s="2" t="s">
        <v>292</v>
      </c>
      <c r="Q3" s="2">
        <v>0</v>
      </c>
      <c r="R3" s="2">
        <v>0</v>
      </c>
      <c r="S3" s="2">
        <v>0</v>
      </c>
      <c r="T3" s="2">
        <v>1</v>
      </c>
      <c r="U3" s="2">
        <v>0</v>
      </c>
      <c r="V3" s="2" t="s">
        <v>293</v>
      </c>
      <c r="W3" s="2" t="s">
        <v>294</v>
      </c>
      <c r="X3" s="2" t="s">
        <v>84</v>
      </c>
      <c r="Y3" s="2">
        <v>1</v>
      </c>
      <c r="Z3" s="2">
        <v>0</v>
      </c>
      <c r="AA3" s="2">
        <v>0</v>
      </c>
      <c r="AB3" s="2">
        <v>0</v>
      </c>
      <c r="AC3" s="2">
        <v>1</v>
      </c>
      <c r="AD3" s="2">
        <v>1</v>
      </c>
      <c r="AE3" s="2">
        <v>0</v>
      </c>
      <c r="AF3" s="2">
        <v>0</v>
      </c>
      <c r="AG3" s="2">
        <v>1</v>
      </c>
      <c r="AH3" s="2">
        <v>1</v>
      </c>
      <c r="AI3" s="2">
        <v>1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1</v>
      </c>
      <c r="AQ3" s="2">
        <v>1</v>
      </c>
      <c r="AR3" s="2">
        <v>1</v>
      </c>
      <c r="AS3" s="2">
        <v>0</v>
      </c>
      <c r="AT3" s="2">
        <v>1</v>
      </c>
      <c r="AU3" s="2">
        <v>1</v>
      </c>
      <c r="AV3" s="2">
        <v>0</v>
      </c>
      <c r="AW3" s="2">
        <v>0</v>
      </c>
      <c r="AX3" s="2">
        <v>1</v>
      </c>
      <c r="AY3" s="2">
        <v>1</v>
      </c>
      <c r="AZ3" s="2">
        <v>1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1</v>
      </c>
      <c r="BG3" s="2">
        <v>1</v>
      </c>
      <c r="BH3" s="2">
        <v>0</v>
      </c>
      <c r="BI3" s="2">
        <v>0</v>
      </c>
      <c r="BJ3" s="2">
        <v>1</v>
      </c>
      <c r="BK3" s="2">
        <v>0</v>
      </c>
      <c r="BL3" s="2">
        <v>0</v>
      </c>
      <c r="BM3" s="2">
        <v>0</v>
      </c>
      <c r="BN3" s="2">
        <v>0</v>
      </c>
      <c r="BO3" s="2">
        <v>1</v>
      </c>
      <c r="BP3" s="2">
        <v>0</v>
      </c>
      <c r="BQ3" s="2">
        <v>1</v>
      </c>
      <c r="BR3" s="2">
        <v>1</v>
      </c>
      <c r="BS3" s="2">
        <v>0</v>
      </c>
      <c r="BT3" s="2">
        <v>1</v>
      </c>
      <c r="BU3" s="2">
        <v>1</v>
      </c>
      <c r="BV3" s="2">
        <v>1</v>
      </c>
      <c r="BW3" s="2">
        <v>1</v>
      </c>
      <c r="BX3" s="2">
        <v>1</v>
      </c>
      <c r="BY3" s="2">
        <v>0</v>
      </c>
      <c r="BZ3" s="2">
        <v>0</v>
      </c>
      <c r="CA3" s="2">
        <v>0</v>
      </c>
      <c r="CB3" s="2">
        <v>0</v>
      </c>
      <c r="CC3" s="2">
        <v>1</v>
      </c>
      <c r="CD3" s="2">
        <v>1</v>
      </c>
      <c r="CE3" s="2">
        <v>0</v>
      </c>
      <c r="CF3" s="2">
        <v>0</v>
      </c>
      <c r="CG3" s="2"/>
      <c r="CH3" s="2"/>
      <c r="CI3" s="2"/>
      <c r="CJ3" s="2"/>
      <c r="CK3" s="2"/>
      <c r="CL3" s="2"/>
      <c r="CM3" s="2"/>
      <c r="CN3" s="2"/>
      <c r="CO3" s="2"/>
      <c r="CP3" s="2"/>
      <c r="CQ3" s="2">
        <v>3</v>
      </c>
      <c r="CR3" s="2" t="s">
        <v>295</v>
      </c>
      <c r="CS3" s="2">
        <v>3</v>
      </c>
      <c r="CT3" s="2" t="s">
        <v>295</v>
      </c>
      <c r="CU3" s="2"/>
      <c r="CV3" s="2" t="s">
        <v>296</v>
      </c>
      <c r="CW3" s="2"/>
      <c r="CX3" s="2" t="s">
        <v>296</v>
      </c>
    </row>
    <row r="4" ht="46" customHeight="1" spans="1:102">
      <c r="A4" s="2" t="s">
        <v>297</v>
      </c>
      <c r="B4" s="2">
        <v>4</v>
      </c>
      <c r="C4" s="2" t="s">
        <v>286</v>
      </c>
      <c r="D4" s="2">
        <v>1</v>
      </c>
      <c r="E4" s="2">
        <v>1</v>
      </c>
      <c r="F4" s="2">
        <v>830</v>
      </c>
      <c r="G4" s="2" t="s">
        <v>11</v>
      </c>
      <c r="H4" s="2" t="s">
        <v>24</v>
      </c>
      <c r="I4" s="2" t="s">
        <v>28</v>
      </c>
      <c r="J4" s="2" t="s">
        <v>35</v>
      </c>
      <c r="K4" s="2" t="s">
        <v>44</v>
      </c>
      <c r="L4" s="2">
        <v>1</v>
      </c>
      <c r="M4" s="2" t="s">
        <v>45</v>
      </c>
      <c r="N4" s="2" t="s">
        <v>85</v>
      </c>
      <c r="O4" s="2">
        <v>0</v>
      </c>
      <c r="P4" s="2" t="s">
        <v>298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 t="s">
        <v>289</v>
      </c>
      <c r="W4" s="2" t="s">
        <v>299</v>
      </c>
      <c r="X4" s="2" t="s">
        <v>85</v>
      </c>
      <c r="Y4" s="2">
        <v>1</v>
      </c>
      <c r="Z4" s="2">
        <v>1</v>
      </c>
      <c r="AA4" s="2">
        <v>0</v>
      </c>
      <c r="AB4" s="2">
        <v>0</v>
      </c>
      <c r="AC4" s="2">
        <v>0</v>
      </c>
      <c r="AD4" s="2">
        <v>1</v>
      </c>
      <c r="AE4" s="2">
        <v>0</v>
      </c>
      <c r="AF4" s="2">
        <v>0</v>
      </c>
      <c r="AG4" s="2">
        <v>1</v>
      </c>
      <c r="AH4" s="2">
        <v>1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/>
      <c r="AT4" s="2"/>
      <c r="AU4" s="2"/>
      <c r="AV4" s="2"/>
      <c r="AW4" s="2"/>
      <c r="AX4" s="2">
        <v>0</v>
      </c>
      <c r="AY4" s="2"/>
      <c r="AZ4" s="2"/>
      <c r="BA4" s="2"/>
      <c r="BB4" s="2"/>
      <c r="BC4" s="2"/>
      <c r="BD4" s="2"/>
      <c r="BE4" s="2"/>
      <c r="BF4" s="2"/>
      <c r="BG4" s="2">
        <v>0</v>
      </c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>
        <v>1</v>
      </c>
      <c r="BV4" s="2">
        <v>0</v>
      </c>
      <c r="BW4" s="2">
        <v>0</v>
      </c>
      <c r="BX4" s="2">
        <v>1</v>
      </c>
      <c r="BY4" s="2">
        <v>0</v>
      </c>
      <c r="BZ4" s="2">
        <v>0</v>
      </c>
      <c r="CA4" s="2">
        <v>1</v>
      </c>
      <c r="CB4" s="2">
        <v>0</v>
      </c>
      <c r="CC4" s="2">
        <v>0</v>
      </c>
      <c r="CD4" s="2">
        <v>0</v>
      </c>
      <c r="CE4" s="2">
        <v>0</v>
      </c>
      <c r="CF4" s="2">
        <v>1</v>
      </c>
      <c r="CG4" s="2">
        <v>0</v>
      </c>
      <c r="CH4" s="2">
        <v>0</v>
      </c>
      <c r="CI4" s="2">
        <v>0</v>
      </c>
      <c r="CJ4" s="2">
        <v>1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4</v>
      </c>
      <c r="CR4" s="2" t="s">
        <v>145</v>
      </c>
      <c r="CS4" s="2">
        <v>5</v>
      </c>
      <c r="CT4" s="2" t="s">
        <v>146</v>
      </c>
      <c r="CU4" s="2">
        <v>3</v>
      </c>
      <c r="CV4" s="2" t="s">
        <v>47</v>
      </c>
      <c r="CW4" s="2">
        <v>2</v>
      </c>
      <c r="CX4" s="2" t="s">
        <v>143</v>
      </c>
    </row>
    <row r="5" ht="46" customHeight="1" spans="1:102">
      <c r="A5" s="2" t="s">
        <v>300</v>
      </c>
      <c r="B5" s="2">
        <v>5</v>
      </c>
      <c r="C5" s="2" t="s">
        <v>286</v>
      </c>
      <c r="D5" s="2">
        <v>1</v>
      </c>
      <c r="E5" s="2">
        <v>1</v>
      </c>
      <c r="F5" s="2">
        <v>330</v>
      </c>
      <c r="G5" s="2" t="s">
        <v>11</v>
      </c>
      <c r="H5" s="2" t="s">
        <v>24</v>
      </c>
      <c r="I5" s="2" t="s">
        <v>28</v>
      </c>
      <c r="J5" s="2" t="s">
        <v>34</v>
      </c>
      <c r="K5" s="2" t="s">
        <v>42</v>
      </c>
      <c r="L5" s="2">
        <v>1</v>
      </c>
      <c r="M5" s="2" t="s">
        <v>45</v>
      </c>
      <c r="N5" s="2" t="s">
        <v>287</v>
      </c>
      <c r="O5" s="2">
        <v>0</v>
      </c>
      <c r="P5" s="2" t="s">
        <v>301</v>
      </c>
      <c r="Q5" s="2">
        <v>0</v>
      </c>
      <c r="R5" s="2">
        <v>0</v>
      </c>
      <c r="S5" s="2">
        <v>0</v>
      </c>
      <c r="T5" s="2">
        <v>1</v>
      </c>
      <c r="U5" s="2">
        <v>0</v>
      </c>
      <c r="V5" s="2" t="s">
        <v>289</v>
      </c>
      <c r="W5" s="2" t="s">
        <v>302</v>
      </c>
      <c r="X5" s="2" t="s">
        <v>83</v>
      </c>
      <c r="Y5" s="2">
        <v>1</v>
      </c>
      <c r="Z5" s="2">
        <v>1</v>
      </c>
      <c r="AA5" s="2">
        <v>0</v>
      </c>
      <c r="AB5" s="2">
        <v>1</v>
      </c>
      <c r="AC5" s="2">
        <v>0</v>
      </c>
      <c r="AD5" s="2">
        <v>0</v>
      </c>
      <c r="AE5" s="2">
        <v>1</v>
      </c>
      <c r="AF5" s="2">
        <v>0</v>
      </c>
      <c r="AG5" s="2">
        <v>1</v>
      </c>
      <c r="AH5" s="2">
        <v>0</v>
      </c>
      <c r="AI5" s="2">
        <v>0</v>
      </c>
      <c r="AJ5" s="2">
        <v>1</v>
      </c>
      <c r="AK5" s="2">
        <v>1</v>
      </c>
      <c r="AL5" s="2">
        <v>0</v>
      </c>
      <c r="AM5" s="2">
        <v>1</v>
      </c>
      <c r="AN5" s="2">
        <v>0</v>
      </c>
      <c r="AO5" s="2">
        <v>0</v>
      </c>
      <c r="AP5" s="2">
        <v>0</v>
      </c>
      <c r="AQ5" s="2">
        <v>0</v>
      </c>
      <c r="AR5" s="2"/>
      <c r="AS5" s="2"/>
      <c r="AT5" s="2"/>
      <c r="AU5" s="2"/>
      <c r="AV5" s="2"/>
      <c r="AW5" s="2"/>
      <c r="AX5" s="2">
        <v>1</v>
      </c>
      <c r="AY5" s="2">
        <v>1</v>
      </c>
      <c r="AZ5" s="2">
        <v>0</v>
      </c>
      <c r="BA5" s="2">
        <v>0</v>
      </c>
      <c r="BB5" s="2">
        <v>0</v>
      </c>
      <c r="BC5" s="2">
        <v>1</v>
      </c>
      <c r="BD5" s="2">
        <v>0</v>
      </c>
      <c r="BE5" s="2">
        <v>0</v>
      </c>
      <c r="BF5" s="2">
        <v>0</v>
      </c>
      <c r="BG5" s="2">
        <v>1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1</v>
      </c>
      <c r="BQ5" s="2">
        <v>1</v>
      </c>
      <c r="BR5" s="2">
        <v>0</v>
      </c>
      <c r="BS5" s="2">
        <v>0</v>
      </c>
      <c r="BT5" s="2">
        <v>1</v>
      </c>
      <c r="BU5" s="2">
        <v>1</v>
      </c>
      <c r="BV5" s="2">
        <v>1</v>
      </c>
      <c r="BW5" s="2">
        <v>1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>
        <v>4</v>
      </c>
      <c r="CT5" s="2" t="s">
        <v>145</v>
      </c>
      <c r="CU5" s="2">
        <v>4</v>
      </c>
      <c r="CV5" s="2" t="s">
        <v>145</v>
      </c>
      <c r="CW5" s="2"/>
      <c r="CX5" s="2"/>
    </row>
    <row r="6" ht="46" customHeight="1" spans="1:102">
      <c r="A6" s="2" t="s">
        <v>303</v>
      </c>
      <c r="B6" s="2">
        <v>6</v>
      </c>
      <c r="C6" s="2" t="s">
        <v>286</v>
      </c>
      <c r="D6" s="2">
        <v>1</v>
      </c>
      <c r="E6" s="2">
        <v>1</v>
      </c>
      <c r="F6" s="2">
        <v>272</v>
      </c>
      <c r="G6" s="2" t="s">
        <v>11</v>
      </c>
      <c r="H6" s="2" t="s">
        <v>24</v>
      </c>
      <c r="I6" s="2" t="s">
        <v>28</v>
      </c>
      <c r="J6" s="2" t="s">
        <v>35</v>
      </c>
      <c r="K6" s="2" t="s">
        <v>46</v>
      </c>
      <c r="L6" s="2">
        <v>0</v>
      </c>
      <c r="M6" s="2" t="s">
        <v>45</v>
      </c>
      <c r="N6" s="2" t="s">
        <v>287</v>
      </c>
      <c r="O6" s="2">
        <v>0</v>
      </c>
      <c r="P6" s="2" t="s">
        <v>304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 t="s">
        <v>289</v>
      </c>
      <c r="W6" s="2" t="s">
        <v>290</v>
      </c>
      <c r="X6" s="2" t="s">
        <v>83</v>
      </c>
      <c r="Y6" s="2">
        <v>0</v>
      </c>
      <c r="Z6" s="2"/>
      <c r="AA6" s="2"/>
      <c r="AB6" s="2"/>
      <c r="AC6" s="2"/>
      <c r="AD6" s="2"/>
      <c r="AE6" s="2"/>
      <c r="AF6" s="2"/>
      <c r="AG6" s="2">
        <v>0</v>
      </c>
      <c r="AH6" s="2"/>
      <c r="AI6" s="2"/>
      <c r="AJ6" s="2"/>
      <c r="AK6" s="2"/>
      <c r="AL6" s="2"/>
      <c r="AM6" s="2"/>
      <c r="AN6" s="2"/>
      <c r="AO6" s="2"/>
      <c r="AP6" s="2"/>
      <c r="AQ6" s="2">
        <v>0</v>
      </c>
      <c r="AR6" s="2"/>
      <c r="AS6" s="2"/>
      <c r="AT6" s="2"/>
      <c r="AU6" s="2"/>
      <c r="AV6" s="2"/>
      <c r="AW6" s="2"/>
      <c r="AX6" s="2">
        <v>1</v>
      </c>
      <c r="AY6" s="2">
        <v>0</v>
      </c>
      <c r="AZ6" s="2">
        <v>1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>
        <v>1</v>
      </c>
      <c r="BV6" s="2">
        <v>0</v>
      </c>
      <c r="BW6" s="2">
        <v>1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1</v>
      </c>
      <c r="CD6" s="2">
        <v>0</v>
      </c>
      <c r="CE6" s="2">
        <v>0</v>
      </c>
      <c r="CF6" s="2">
        <v>1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1</v>
      </c>
      <c r="CN6" s="2">
        <v>0</v>
      </c>
      <c r="CO6" s="2">
        <v>0</v>
      </c>
      <c r="CP6" s="2">
        <v>0</v>
      </c>
      <c r="CQ6" s="2">
        <v>3</v>
      </c>
      <c r="CR6" s="2" t="s">
        <v>47</v>
      </c>
      <c r="CS6" s="2">
        <v>4</v>
      </c>
      <c r="CT6" s="2" t="s">
        <v>145</v>
      </c>
      <c r="CU6" s="2">
        <v>3</v>
      </c>
      <c r="CV6" s="2" t="s">
        <v>47</v>
      </c>
      <c r="CW6" s="2"/>
      <c r="CX6" s="2" t="s">
        <v>296</v>
      </c>
    </row>
    <row r="7" ht="46" customHeight="1" spans="1:102">
      <c r="A7" s="2" t="s">
        <v>305</v>
      </c>
      <c r="B7" s="2">
        <v>7</v>
      </c>
      <c r="C7" s="2" t="s">
        <v>286</v>
      </c>
      <c r="D7" s="2">
        <v>1</v>
      </c>
      <c r="E7" s="2">
        <v>1</v>
      </c>
      <c r="F7" s="2">
        <v>697</v>
      </c>
      <c r="G7" s="2" t="s">
        <v>9</v>
      </c>
      <c r="H7" s="2" t="s">
        <v>23</v>
      </c>
      <c r="I7" s="2" t="s">
        <v>28</v>
      </c>
      <c r="J7" s="2" t="s">
        <v>34</v>
      </c>
      <c r="K7" s="2" t="s">
        <v>44</v>
      </c>
      <c r="L7" s="2">
        <v>1</v>
      </c>
      <c r="M7" s="2" t="s">
        <v>43</v>
      </c>
      <c r="N7" s="2" t="s">
        <v>287</v>
      </c>
      <c r="O7" s="2">
        <v>0</v>
      </c>
      <c r="P7" s="2" t="s">
        <v>288</v>
      </c>
      <c r="Q7" s="2">
        <v>0</v>
      </c>
      <c r="R7" s="2">
        <v>0</v>
      </c>
      <c r="S7" s="2">
        <v>0</v>
      </c>
      <c r="T7" s="2">
        <v>1</v>
      </c>
      <c r="U7" s="2">
        <v>1</v>
      </c>
      <c r="V7" s="2" t="s">
        <v>289</v>
      </c>
      <c r="W7" s="2" t="s">
        <v>290</v>
      </c>
      <c r="X7" s="2" t="s">
        <v>83</v>
      </c>
      <c r="Y7" s="2">
        <v>1</v>
      </c>
      <c r="Z7" s="2">
        <v>1</v>
      </c>
      <c r="AA7" s="2">
        <v>0</v>
      </c>
      <c r="AB7" s="2">
        <v>0</v>
      </c>
      <c r="AC7" s="2">
        <v>0</v>
      </c>
      <c r="AD7" s="2">
        <v>1</v>
      </c>
      <c r="AE7" s="2">
        <v>1</v>
      </c>
      <c r="AF7" s="2">
        <v>0</v>
      </c>
      <c r="AG7" s="2">
        <v>1</v>
      </c>
      <c r="AH7" s="2">
        <v>1</v>
      </c>
      <c r="AI7" s="2">
        <v>0</v>
      </c>
      <c r="AJ7" s="2">
        <v>1</v>
      </c>
      <c r="AK7" s="2">
        <v>0</v>
      </c>
      <c r="AL7" s="2">
        <v>0</v>
      </c>
      <c r="AM7" s="2">
        <v>1</v>
      </c>
      <c r="AN7" s="2">
        <v>1</v>
      </c>
      <c r="AO7" s="2">
        <v>0</v>
      </c>
      <c r="AP7" s="2">
        <v>0</v>
      </c>
      <c r="AQ7" s="2">
        <v>1</v>
      </c>
      <c r="AR7" s="2">
        <v>0</v>
      </c>
      <c r="AS7" s="2">
        <v>0</v>
      </c>
      <c r="AT7" s="2">
        <v>1</v>
      </c>
      <c r="AU7" s="2">
        <v>1</v>
      </c>
      <c r="AV7" s="2">
        <v>0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0</v>
      </c>
      <c r="BC7" s="2">
        <v>1</v>
      </c>
      <c r="BD7" s="2">
        <v>0</v>
      </c>
      <c r="BE7" s="2">
        <v>0</v>
      </c>
      <c r="BF7" s="2">
        <v>0</v>
      </c>
      <c r="BG7" s="2">
        <v>0</v>
      </c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>
        <v>1</v>
      </c>
      <c r="BV7" s="2">
        <v>0</v>
      </c>
      <c r="BW7" s="2">
        <v>1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1</v>
      </c>
      <c r="CD7" s="2">
        <v>1</v>
      </c>
      <c r="CE7" s="2">
        <v>0</v>
      </c>
      <c r="CF7" s="2">
        <v>0</v>
      </c>
      <c r="CG7" s="2"/>
      <c r="CH7" s="2"/>
      <c r="CI7" s="2"/>
      <c r="CJ7" s="2"/>
      <c r="CK7" s="2"/>
      <c r="CL7" s="2"/>
      <c r="CM7" s="2"/>
      <c r="CN7" s="2"/>
      <c r="CO7" s="2"/>
      <c r="CP7" s="2"/>
      <c r="CQ7" s="2">
        <v>3</v>
      </c>
      <c r="CR7" s="2" t="s">
        <v>306</v>
      </c>
      <c r="CS7" s="2">
        <v>2</v>
      </c>
      <c r="CT7" s="2" t="s">
        <v>143</v>
      </c>
      <c r="CU7" s="2">
        <v>4</v>
      </c>
      <c r="CV7" s="2" t="s">
        <v>145</v>
      </c>
      <c r="CW7" s="2">
        <v>97</v>
      </c>
      <c r="CX7" s="2" t="s">
        <v>307</v>
      </c>
    </row>
    <row r="8" ht="46" customHeight="1" spans="1:102">
      <c r="A8" s="2" t="s">
        <v>308</v>
      </c>
      <c r="B8" s="2">
        <v>8</v>
      </c>
      <c r="C8" s="2" t="s">
        <v>286</v>
      </c>
      <c r="D8" s="2">
        <v>1</v>
      </c>
      <c r="E8" s="2">
        <v>1</v>
      </c>
      <c r="F8" s="2">
        <v>309</v>
      </c>
      <c r="G8" s="2" t="s">
        <v>7</v>
      </c>
      <c r="H8" s="2" t="s">
        <v>25</v>
      </c>
      <c r="I8" s="2" t="s">
        <v>29</v>
      </c>
      <c r="J8" s="2" t="s">
        <v>36</v>
      </c>
      <c r="K8" s="2" t="s">
        <v>44</v>
      </c>
      <c r="L8" s="2">
        <v>1</v>
      </c>
      <c r="M8" s="2" t="s">
        <v>47</v>
      </c>
      <c r="N8" s="2" t="s">
        <v>287</v>
      </c>
      <c r="O8" s="2">
        <v>0</v>
      </c>
      <c r="P8" s="2" t="s">
        <v>288</v>
      </c>
      <c r="Q8" s="2">
        <v>0</v>
      </c>
      <c r="R8" s="2">
        <v>0</v>
      </c>
      <c r="S8" s="2">
        <v>0</v>
      </c>
      <c r="T8" s="2">
        <v>1</v>
      </c>
      <c r="U8" s="2">
        <v>1</v>
      </c>
      <c r="V8" s="2" t="s">
        <v>289</v>
      </c>
      <c r="W8" s="2" t="s">
        <v>294</v>
      </c>
      <c r="X8" s="2" t="s">
        <v>83</v>
      </c>
      <c r="Y8" s="2">
        <v>1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1</v>
      </c>
      <c r="AF8" s="2">
        <v>0</v>
      </c>
      <c r="AG8" s="2">
        <v>1</v>
      </c>
      <c r="AH8" s="2">
        <v>0</v>
      </c>
      <c r="AI8" s="2">
        <v>0</v>
      </c>
      <c r="AJ8" s="2">
        <v>0</v>
      </c>
      <c r="AK8" s="2">
        <v>1</v>
      </c>
      <c r="AL8" s="2">
        <v>0</v>
      </c>
      <c r="AM8" s="2">
        <v>1</v>
      </c>
      <c r="AN8" s="2">
        <v>1</v>
      </c>
      <c r="AO8" s="2">
        <v>0</v>
      </c>
      <c r="AP8" s="2">
        <v>0</v>
      </c>
      <c r="AQ8" s="2">
        <v>0</v>
      </c>
      <c r="AR8" s="2"/>
      <c r="AS8" s="2"/>
      <c r="AT8" s="2"/>
      <c r="AU8" s="2"/>
      <c r="AV8" s="2"/>
      <c r="AW8" s="2"/>
      <c r="AX8" s="2">
        <v>1</v>
      </c>
      <c r="AY8" s="2">
        <v>0</v>
      </c>
      <c r="AZ8" s="2">
        <v>1</v>
      </c>
      <c r="BA8" s="2">
        <v>0</v>
      </c>
      <c r="BB8" s="2">
        <v>0</v>
      </c>
      <c r="BC8" s="2">
        <v>0</v>
      </c>
      <c r="BD8" s="2">
        <v>1</v>
      </c>
      <c r="BE8" s="2">
        <v>0</v>
      </c>
      <c r="BF8" s="2">
        <v>0</v>
      </c>
      <c r="BG8" s="2">
        <v>0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>
        <v>1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1</v>
      </c>
      <c r="CF8" s="2">
        <v>0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>
        <v>97</v>
      </c>
      <c r="CR8" s="2" t="s">
        <v>147</v>
      </c>
      <c r="CS8" s="2">
        <v>4</v>
      </c>
      <c r="CT8" s="2" t="s">
        <v>145</v>
      </c>
      <c r="CU8" s="2">
        <v>4</v>
      </c>
      <c r="CV8" s="2" t="s">
        <v>145</v>
      </c>
      <c r="CW8" s="2">
        <v>4</v>
      </c>
      <c r="CX8" s="2" t="s">
        <v>145</v>
      </c>
    </row>
    <row r="9" ht="46" customHeight="1" spans="1:102">
      <c r="A9" s="2" t="s">
        <v>309</v>
      </c>
      <c r="B9" s="2">
        <v>9</v>
      </c>
      <c r="C9" s="2" t="s">
        <v>286</v>
      </c>
      <c r="D9" s="2">
        <v>1</v>
      </c>
      <c r="E9" s="2">
        <v>1</v>
      </c>
      <c r="F9" s="2">
        <v>580</v>
      </c>
      <c r="G9" s="2" t="s">
        <v>9</v>
      </c>
      <c r="H9" s="2" t="s">
        <v>23</v>
      </c>
      <c r="I9" s="2" t="s">
        <v>29</v>
      </c>
      <c r="J9" s="2" t="s">
        <v>34</v>
      </c>
      <c r="K9" s="2" t="s">
        <v>44</v>
      </c>
      <c r="L9" s="2">
        <v>1</v>
      </c>
      <c r="M9" s="2" t="s">
        <v>43</v>
      </c>
      <c r="N9" s="2" t="s">
        <v>287</v>
      </c>
      <c r="O9" s="2">
        <v>0</v>
      </c>
      <c r="P9" s="2" t="s">
        <v>288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 t="s">
        <v>293</v>
      </c>
      <c r="W9" s="2" t="s">
        <v>290</v>
      </c>
      <c r="X9" s="2" t="s">
        <v>84</v>
      </c>
      <c r="Y9" s="2">
        <v>1</v>
      </c>
      <c r="Z9" s="2">
        <v>1</v>
      </c>
      <c r="AA9" s="2">
        <v>0</v>
      </c>
      <c r="AB9" s="2">
        <v>1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1</v>
      </c>
      <c r="AJ9" s="2">
        <v>0</v>
      </c>
      <c r="AK9" s="2">
        <v>1</v>
      </c>
      <c r="AL9" s="2">
        <v>0</v>
      </c>
      <c r="AM9" s="2">
        <v>1</v>
      </c>
      <c r="AN9" s="2">
        <v>0</v>
      </c>
      <c r="AO9" s="2">
        <v>0</v>
      </c>
      <c r="AP9" s="2">
        <v>0</v>
      </c>
      <c r="AQ9" s="2">
        <v>1</v>
      </c>
      <c r="AR9" s="2">
        <v>1</v>
      </c>
      <c r="AS9" s="2">
        <v>0</v>
      </c>
      <c r="AT9" s="2">
        <v>1</v>
      </c>
      <c r="AU9" s="2">
        <v>0</v>
      </c>
      <c r="AV9" s="2">
        <v>1</v>
      </c>
      <c r="AW9" s="2">
        <v>0</v>
      </c>
      <c r="AX9" s="2">
        <v>1</v>
      </c>
      <c r="AY9" s="2">
        <v>0</v>
      </c>
      <c r="AZ9" s="2">
        <v>1</v>
      </c>
      <c r="BA9" s="2">
        <v>0</v>
      </c>
      <c r="BB9" s="2">
        <v>0</v>
      </c>
      <c r="BC9" s="2">
        <v>1</v>
      </c>
      <c r="BD9" s="2">
        <v>1</v>
      </c>
      <c r="BE9" s="2">
        <v>0</v>
      </c>
      <c r="BF9" s="2">
        <v>0</v>
      </c>
      <c r="BG9" s="2">
        <v>0</v>
      </c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>
        <v>1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1</v>
      </c>
      <c r="CB9" s="2">
        <v>1</v>
      </c>
      <c r="CC9" s="2">
        <v>0</v>
      </c>
      <c r="CD9" s="2">
        <v>0</v>
      </c>
      <c r="CE9" s="2">
        <v>0</v>
      </c>
      <c r="CF9" s="2">
        <v>0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>
        <v>5</v>
      </c>
      <c r="CR9" s="2" t="s">
        <v>146</v>
      </c>
      <c r="CS9" s="2">
        <v>4</v>
      </c>
      <c r="CT9" s="2" t="s">
        <v>145</v>
      </c>
      <c r="CU9" s="2">
        <v>5</v>
      </c>
      <c r="CV9" s="2" t="s">
        <v>146</v>
      </c>
      <c r="CW9" s="2">
        <v>3</v>
      </c>
      <c r="CX9" s="2" t="s">
        <v>47</v>
      </c>
    </row>
    <row r="10" ht="46" customHeight="1" spans="1:102">
      <c r="A10" s="2" t="s">
        <v>310</v>
      </c>
      <c r="B10" s="2">
        <v>10</v>
      </c>
      <c r="C10" s="2" t="s">
        <v>286</v>
      </c>
      <c r="D10" s="2">
        <v>1</v>
      </c>
      <c r="E10" s="2">
        <v>1</v>
      </c>
      <c r="F10" s="2">
        <v>418</v>
      </c>
      <c r="G10" s="2" t="s">
        <v>9</v>
      </c>
      <c r="H10" s="2" t="s">
        <v>24</v>
      </c>
      <c r="I10" s="2" t="s">
        <v>28</v>
      </c>
      <c r="J10" s="2" t="s">
        <v>34</v>
      </c>
      <c r="K10" s="2" t="s">
        <v>44</v>
      </c>
      <c r="L10" s="2">
        <v>1</v>
      </c>
      <c r="M10" s="2" t="s">
        <v>43</v>
      </c>
      <c r="N10" s="2" t="s">
        <v>287</v>
      </c>
      <c r="O10" s="2">
        <v>0</v>
      </c>
      <c r="P10" s="2" t="s">
        <v>311</v>
      </c>
      <c r="Q10" s="2">
        <v>0</v>
      </c>
      <c r="R10" s="2">
        <v>0</v>
      </c>
      <c r="S10" s="2">
        <v>0</v>
      </c>
      <c r="T10" s="2">
        <v>1</v>
      </c>
      <c r="U10" s="2">
        <v>1</v>
      </c>
      <c r="V10" s="2" t="s">
        <v>289</v>
      </c>
      <c r="W10" s="2" t="s">
        <v>294</v>
      </c>
      <c r="X10" s="2" t="s">
        <v>83</v>
      </c>
      <c r="Y10" s="2">
        <v>1</v>
      </c>
      <c r="Z10" s="2">
        <v>0</v>
      </c>
      <c r="AA10" s="2">
        <v>0</v>
      </c>
      <c r="AB10" s="2">
        <v>0</v>
      </c>
      <c r="AC10" s="2">
        <v>1</v>
      </c>
      <c r="AD10" s="2">
        <v>1</v>
      </c>
      <c r="AE10" s="2">
        <v>1</v>
      </c>
      <c r="AF10" s="2">
        <v>0</v>
      </c>
      <c r="AG10" s="2">
        <v>1</v>
      </c>
      <c r="AH10" s="2">
        <v>1</v>
      </c>
      <c r="AI10" s="2">
        <v>0</v>
      </c>
      <c r="AJ10" s="2">
        <v>0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1</v>
      </c>
      <c r="AQ10" s="2">
        <v>1</v>
      </c>
      <c r="AR10" s="2">
        <v>0</v>
      </c>
      <c r="AS10" s="2">
        <v>0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0</v>
      </c>
      <c r="BB10" s="2">
        <v>0</v>
      </c>
      <c r="BC10" s="2">
        <v>1</v>
      </c>
      <c r="BD10" s="2">
        <v>0</v>
      </c>
      <c r="BE10" s="2">
        <v>0</v>
      </c>
      <c r="BF10" s="2">
        <v>1</v>
      </c>
      <c r="BG10" s="2">
        <v>0</v>
      </c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>
        <v>1</v>
      </c>
      <c r="BV10" s="2">
        <v>1</v>
      </c>
      <c r="BW10" s="2">
        <v>1</v>
      </c>
      <c r="BX10" s="2">
        <v>1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>
        <v>4</v>
      </c>
      <c r="CR10" s="2" t="s">
        <v>145</v>
      </c>
      <c r="CS10" s="2">
        <v>4</v>
      </c>
      <c r="CT10" s="2" t="s">
        <v>145</v>
      </c>
      <c r="CU10" s="2">
        <v>3</v>
      </c>
      <c r="CV10" s="2" t="s">
        <v>47</v>
      </c>
      <c r="CW10" s="2"/>
      <c r="CX10" s="2" t="s">
        <v>312</v>
      </c>
    </row>
    <row r="11" ht="46" customHeight="1" spans="1:102">
      <c r="A11" s="2" t="s">
        <v>313</v>
      </c>
      <c r="B11" s="2">
        <v>11</v>
      </c>
      <c r="C11" s="2" t="s">
        <v>286</v>
      </c>
      <c r="D11" s="2">
        <v>1</v>
      </c>
      <c r="E11" s="2">
        <v>1</v>
      </c>
      <c r="F11" s="2">
        <v>222</v>
      </c>
      <c r="G11" s="2" t="s">
        <v>9</v>
      </c>
      <c r="H11" s="2" t="s">
        <v>24</v>
      </c>
      <c r="I11" s="2" t="s">
        <v>28</v>
      </c>
      <c r="J11" s="2" t="s">
        <v>36</v>
      </c>
      <c r="K11" s="2" t="s">
        <v>48</v>
      </c>
      <c r="L11" s="2">
        <v>1</v>
      </c>
      <c r="M11" s="2" t="s">
        <v>45</v>
      </c>
      <c r="N11" s="2" t="s">
        <v>287</v>
      </c>
      <c r="O11" s="2">
        <v>0</v>
      </c>
      <c r="P11" s="2" t="s">
        <v>314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 t="s">
        <v>289</v>
      </c>
      <c r="W11" s="2" t="s">
        <v>294</v>
      </c>
      <c r="X11" s="2" t="s">
        <v>83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1</v>
      </c>
      <c r="AE11" s="2">
        <v>0</v>
      </c>
      <c r="AF11" s="2">
        <v>0</v>
      </c>
      <c r="AG11" s="2">
        <v>1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1</v>
      </c>
      <c r="AN11" s="2">
        <v>0</v>
      </c>
      <c r="AO11" s="2">
        <v>0</v>
      </c>
      <c r="AP11" s="2">
        <v>0</v>
      </c>
      <c r="AQ11" s="2">
        <v>0</v>
      </c>
      <c r="AR11" s="2"/>
      <c r="AS11" s="2"/>
      <c r="AT11" s="2"/>
      <c r="AU11" s="2"/>
      <c r="AV11" s="2"/>
      <c r="AW11" s="2"/>
      <c r="AX11" s="2">
        <v>1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1</v>
      </c>
      <c r="BG11" s="2">
        <v>1</v>
      </c>
      <c r="BH11" s="2">
        <v>0</v>
      </c>
      <c r="BI11" s="2">
        <v>0</v>
      </c>
      <c r="BJ11" s="2">
        <v>0</v>
      </c>
      <c r="BK11" s="2">
        <v>1</v>
      </c>
      <c r="BL11" s="2">
        <v>0</v>
      </c>
      <c r="BM11" s="2">
        <v>0</v>
      </c>
      <c r="BN11" s="2">
        <v>1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1</v>
      </c>
      <c r="BV11" s="2">
        <v>0</v>
      </c>
      <c r="BW11" s="2">
        <v>1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1</v>
      </c>
      <c r="CD11" s="2">
        <v>1</v>
      </c>
      <c r="CE11" s="2">
        <v>0</v>
      </c>
      <c r="CF11" s="2">
        <v>1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1</v>
      </c>
      <c r="CO11" s="2">
        <v>0</v>
      </c>
      <c r="CP11" s="2">
        <v>0</v>
      </c>
      <c r="CQ11" s="2">
        <v>5</v>
      </c>
      <c r="CR11" s="2" t="s">
        <v>146</v>
      </c>
      <c r="CS11" s="2">
        <v>4</v>
      </c>
      <c r="CT11" s="2" t="s">
        <v>145</v>
      </c>
      <c r="CU11" s="2">
        <v>4</v>
      </c>
      <c r="CV11" s="2" t="s">
        <v>145</v>
      </c>
      <c r="CW11" s="2">
        <v>5</v>
      </c>
      <c r="CX11" s="2" t="s">
        <v>146</v>
      </c>
    </row>
    <row r="12" ht="46" customHeight="1" spans="1:102">
      <c r="A12" s="2" t="s">
        <v>315</v>
      </c>
      <c r="B12" s="2">
        <v>12</v>
      </c>
      <c r="C12" s="2" t="s">
        <v>316</v>
      </c>
      <c r="D12" s="2">
        <v>1</v>
      </c>
      <c r="E12" s="2">
        <v>0</v>
      </c>
      <c r="F12" s="2">
        <v>268</v>
      </c>
      <c r="G12" s="2" t="s">
        <v>11</v>
      </c>
      <c r="H12" s="2" t="s">
        <v>23</v>
      </c>
      <c r="I12" s="2" t="s">
        <v>28</v>
      </c>
      <c r="J12" s="2" t="s">
        <v>37</v>
      </c>
      <c r="K12" s="2" t="s">
        <v>46</v>
      </c>
      <c r="L12" s="2">
        <v>0</v>
      </c>
      <c r="M12" s="2" t="s">
        <v>45</v>
      </c>
      <c r="N12" s="2" t="s">
        <v>287</v>
      </c>
      <c r="O12" s="2">
        <v>0</v>
      </c>
      <c r="P12" s="2" t="s">
        <v>317</v>
      </c>
      <c r="Q12" s="2">
        <v>1</v>
      </c>
      <c r="R12" s="2">
        <v>0</v>
      </c>
      <c r="S12" s="2">
        <v>1</v>
      </c>
      <c r="T12" s="2">
        <v>1</v>
      </c>
      <c r="U12" s="2">
        <v>1</v>
      </c>
      <c r="V12" s="2" t="s">
        <v>293</v>
      </c>
      <c r="W12" s="2" t="s">
        <v>290</v>
      </c>
      <c r="X12" s="2" t="s">
        <v>84</v>
      </c>
      <c r="Y12" s="2">
        <v>0</v>
      </c>
      <c r="Z12" s="2"/>
      <c r="AA12" s="2"/>
      <c r="AB12" s="2"/>
      <c r="AC12" s="2"/>
      <c r="AD12" s="2"/>
      <c r="AE12" s="2"/>
      <c r="AF12" s="2"/>
      <c r="AG12" s="2">
        <v>0</v>
      </c>
      <c r="AH12" s="2"/>
      <c r="AI12" s="2"/>
      <c r="AJ12" s="2"/>
      <c r="AK12" s="2"/>
      <c r="AL12" s="2"/>
      <c r="AM12" s="2"/>
      <c r="AN12" s="2"/>
      <c r="AO12" s="2"/>
      <c r="AP12" s="2"/>
      <c r="AQ12" s="2">
        <v>0</v>
      </c>
      <c r="AR12" s="2"/>
      <c r="AS12" s="2"/>
      <c r="AT12" s="2"/>
      <c r="AU12" s="2"/>
      <c r="AV12" s="2"/>
      <c r="AW12" s="2"/>
      <c r="AX12" s="2">
        <v>1</v>
      </c>
      <c r="AY12" s="2">
        <v>1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1</v>
      </c>
      <c r="BG12" s="2">
        <v>0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>
        <v>0</v>
      </c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>
        <v>0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ht="46" customHeight="1" spans="1:102">
      <c r="A13" s="2" t="s">
        <v>318</v>
      </c>
      <c r="B13" s="2">
        <v>13</v>
      </c>
      <c r="C13" s="2" t="s">
        <v>286</v>
      </c>
      <c r="D13" s="2">
        <v>1</v>
      </c>
      <c r="E13" s="2">
        <v>1</v>
      </c>
      <c r="F13" s="2">
        <v>309</v>
      </c>
      <c r="G13" s="2" t="s">
        <v>9</v>
      </c>
      <c r="H13" s="2" t="s">
        <v>24</v>
      </c>
      <c r="I13" s="2" t="s">
        <v>28</v>
      </c>
      <c r="J13" s="2" t="s">
        <v>34</v>
      </c>
      <c r="K13" s="2" t="s">
        <v>48</v>
      </c>
      <c r="L13" s="2">
        <v>1</v>
      </c>
      <c r="M13" s="2" t="s">
        <v>43</v>
      </c>
      <c r="N13" s="2" t="s">
        <v>287</v>
      </c>
      <c r="O13" s="2">
        <v>0</v>
      </c>
      <c r="P13" s="2" t="s">
        <v>288</v>
      </c>
      <c r="Q13" s="2">
        <v>0</v>
      </c>
      <c r="R13" s="2">
        <v>0</v>
      </c>
      <c r="S13" s="2">
        <v>0</v>
      </c>
      <c r="T13" s="2">
        <v>1</v>
      </c>
      <c r="U13" s="2">
        <v>1</v>
      </c>
      <c r="V13" s="2" t="s">
        <v>289</v>
      </c>
      <c r="W13" s="2" t="s">
        <v>319</v>
      </c>
      <c r="X13" s="2" t="s">
        <v>83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1</v>
      </c>
      <c r="AE13" s="2">
        <v>0</v>
      </c>
      <c r="AF13" s="2">
        <v>0</v>
      </c>
      <c r="AG13" s="2">
        <v>1</v>
      </c>
      <c r="AH13" s="2">
        <v>0</v>
      </c>
      <c r="AI13" s="2">
        <v>0</v>
      </c>
      <c r="AJ13" s="2">
        <v>1</v>
      </c>
      <c r="AK13" s="2">
        <v>1</v>
      </c>
      <c r="AL13" s="2">
        <v>0</v>
      </c>
      <c r="AM13" s="2">
        <v>0</v>
      </c>
      <c r="AN13" s="2">
        <v>1</v>
      </c>
      <c r="AO13" s="2">
        <v>0</v>
      </c>
      <c r="AP13" s="2">
        <v>0</v>
      </c>
      <c r="AQ13" s="2">
        <v>1</v>
      </c>
      <c r="AR13" s="2">
        <v>0</v>
      </c>
      <c r="AS13" s="2">
        <v>0</v>
      </c>
      <c r="AT13" s="2">
        <v>1</v>
      </c>
      <c r="AU13" s="2">
        <v>1</v>
      </c>
      <c r="AV13" s="2">
        <v>1</v>
      </c>
      <c r="AW13" s="2">
        <v>0</v>
      </c>
      <c r="AX13" s="2">
        <v>1</v>
      </c>
      <c r="AY13" s="2">
        <v>1</v>
      </c>
      <c r="AZ13" s="2">
        <v>1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1</v>
      </c>
      <c r="BG13" s="2">
        <v>0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>
        <v>1</v>
      </c>
      <c r="BV13" s="2">
        <v>1</v>
      </c>
      <c r="BW13" s="2">
        <v>1</v>
      </c>
      <c r="BX13" s="2">
        <v>1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>
        <v>3</v>
      </c>
      <c r="CR13" s="2" t="s">
        <v>47</v>
      </c>
      <c r="CS13" s="2">
        <v>2</v>
      </c>
      <c r="CT13" s="2" t="s">
        <v>143</v>
      </c>
      <c r="CU13" s="2">
        <v>4</v>
      </c>
      <c r="CV13" s="2" t="s">
        <v>145</v>
      </c>
      <c r="CW13" s="2">
        <v>5</v>
      </c>
      <c r="CX13" s="2" t="s">
        <v>146</v>
      </c>
    </row>
    <row r="14" ht="46" customHeight="1" spans="1:102">
      <c r="A14" s="2" t="s">
        <v>320</v>
      </c>
      <c r="B14" s="2">
        <v>14</v>
      </c>
      <c r="C14" s="2" t="s">
        <v>316</v>
      </c>
      <c r="D14" s="2">
        <v>1</v>
      </c>
      <c r="E14" s="2">
        <v>0</v>
      </c>
      <c r="F14" s="2">
        <v>274</v>
      </c>
      <c r="G14" s="2" t="s">
        <v>9</v>
      </c>
      <c r="H14" s="2" t="s">
        <v>24</v>
      </c>
      <c r="I14" s="2" t="s">
        <v>28</v>
      </c>
      <c r="J14" s="2" t="s">
        <v>37</v>
      </c>
      <c r="K14" s="2" t="s">
        <v>46</v>
      </c>
      <c r="L14" s="2">
        <v>0</v>
      </c>
      <c r="M14" s="2" t="s">
        <v>47</v>
      </c>
      <c r="N14" s="2" t="s">
        <v>85</v>
      </c>
      <c r="O14" s="2">
        <v>0</v>
      </c>
      <c r="P14" s="2" t="s">
        <v>321</v>
      </c>
      <c r="Q14" s="2">
        <v>1</v>
      </c>
      <c r="R14" s="2">
        <v>0</v>
      </c>
      <c r="S14" s="2">
        <v>1</v>
      </c>
      <c r="T14" s="2">
        <v>1</v>
      </c>
      <c r="U14" s="2">
        <v>1</v>
      </c>
      <c r="V14" s="2" t="s">
        <v>289</v>
      </c>
      <c r="W14" s="2" t="s">
        <v>299</v>
      </c>
      <c r="X14" s="2" t="s">
        <v>85</v>
      </c>
      <c r="Y14" s="2">
        <v>0</v>
      </c>
      <c r="Z14" s="2"/>
      <c r="AA14" s="2"/>
      <c r="AB14" s="2"/>
      <c r="AC14" s="2"/>
      <c r="AD14" s="2"/>
      <c r="AE14" s="2"/>
      <c r="AF14" s="2"/>
      <c r="AG14" s="2">
        <v>0</v>
      </c>
      <c r="AH14" s="2"/>
      <c r="AI14" s="2"/>
      <c r="AJ14" s="2"/>
      <c r="AK14" s="2"/>
      <c r="AL14" s="2"/>
      <c r="AM14" s="2"/>
      <c r="AN14" s="2"/>
      <c r="AO14" s="2"/>
      <c r="AP14" s="2"/>
      <c r="AQ14" s="2">
        <v>0</v>
      </c>
      <c r="AR14" s="2"/>
      <c r="AS14" s="2"/>
      <c r="AT14" s="2"/>
      <c r="AU14" s="2"/>
      <c r="AV14" s="2"/>
      <c r="AW14" s="2"/>
      <c r="AX14" s="2">
        <v>0</v>
      </c>
      <c r="AY14" s="2"/>
      <c r="AZ14" s="2"/>
      <c r="BA14" s="2"/>
      <c r="BB14" s="2"/>
      <c r="BC14" s="2"/>
      <c r="BD14" s="2"/>
      <c r="BE14" s="2"/>
      <c r="BF14" s="2"/>
      <c r="BG14" s="2">
        <v>0</v>
      </c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>
        <v>1</v>
      </c>
      <c r="BV14" s="2">
        <v>1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1</v>
      </c>
      <c r="CC14" s="2">
        <v>0</v>
      </c>
      <c r="CD14" s="2">
        <v>0</v>
      </c>
      <c r="CE14" s="2">
        <v>0</v>
      </c>
      <c r="CF14" s="2">
        <v>0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ht="46" customHeight="1" spans="1:102">
      <c r="A15" s="2" t="s">
        <v>322</v>
      </c>
      <c r="B15" s="2">
        <v>15</v>
      </c>
      <c r="C15" s="2" t="s">
        <v>286</v>
      </c>
      <c r="D15" s="2">
        <v>1</v>
      </c>
      <c r="E15" s="2">
        <v>1</v>
      </c>
      <c r="F15" s="2">
        <v>295</v>
      </c>
      <c r="G15" s="2" t="s">
        <v>9</v>
      </c>
      <c r="H15" s="2" t="s">
        <v>24</v>
      </c>
      <c r="I15" s="2" t="s">
        <v>28</v>
      </c>
      <c r="J15" s="2" t="s">
        <v>37</v>
      </c>
      <c r="K15" s="2" t="s">
        <v>46</v>
      </c>
      <c r="L15" s="2">
        <v>0</v>
      </c>
      <c r="M15" s="2" t="s">
        <v>45</v>
      </c>
      <c r="N15" s="2" t="s">
        <v>86</v>
      </c>
      <c r="O15" s="2">
        <v>0</v>
      </c>
      <c r="P15" s="2" t="s">
        <v>323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 t="s">
        <v>324</v>
      </c>
      <c r="W15" s="2" t="s">
        <v>325</v>
      </c>
      <c r="X15" s="2" t="s">
        <v>86</v>
      </c>
      <c r="Y15" s="2">
        <v>0</v>
      </c>
      <c r="Z15" s="2"/>
      <c r="AA15" s="2"/>
      <c r="AB15" s="2"/>
      <c r="AC15" s="2"/>
      <c r="AD15" s="2"/>
      <c r="AE15" s="2"/>
      <c r="AF15" s="2"/>
      <c r="AG15" s="2">
        <v>0</v>
      </c>
      <c r="AH15" s="2"/>
      <c r="AI15" s="2"/>
      <c r="AJ15" s="2"/>
      <c r="AK15" s="2"/>
      <c r="AL15" s="2"/>
      <c r="AM15" s="2"/>
      <c r="AN15" s="2"/>
      <c r="AO15" s="2"/>
      <c r="AP15" s="2"/>
      <c r="AQ15" s="2">
        <v>0</v>
      </c>
      <c r="AR15" s="2"/>
      <c r="AS15" s="2"/>
      <c r="AT15" s="2"/>
      <c r="AU15" s="2"/>
      <c r="AV15" s="2"/>
      <c r="AW15" s="2"/>
      <c r="AX15" s="2">
        <v>0</v>
      </c>
      <c r="AY15" s="2"/>
      <c r="AZ15" s="2"/>
      <c r="BA15" s="2"/>
      <c r="BB15" s="2"/>
      <c r="BC15" s="2"/>
      <c r="BD15" s="2"/>
      <c r="BE15" s="2"/>
      <c r="BF15" s="2"/>
      <c r="BG15" s="2">
        <v>0</v>
      </c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>
        <v>1</v>
      </c>
      <c r="BV15" s="2">
        <v>0</v>
      </c>
      <c r="BW15" s="2">
        <v>0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1</v>
      </c>
      <c r="CG15" s="2">
        <v>1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/>
      <c r="CR15" s="2"/>
      <c r="CS15" s="2"/>
      <c r="CT15" s="2"/>
      <c r="CU15" s="2"/>
      <c r="CV15" s="2"/>
      <c r="CW15" s="2"/>
      <c r="CX15" s="2"/>
    </row>
    <row r="16" ht="46" customHeight="1" spans="1:102">
      <c r="A16" s="2" t="s">
        <v>326</v>
      </c>
      <c r="B16" s="2">
        <v>16</v>
      </c>
      <c r="C16" s="2" t="s">
        <v>286</v>
      </c>
      <c r="D16" s="2">
        <v>1</v>
      </c>
      <c r="E16" s="2">
        <v>1</v>
      </c>
      <c r="F16" s="2">
        <v>274</v>
      </c>
      <c r="G16" s="2" t="s">
        <v>7</v>
      </c>
      <c r="H16" s="2" t="s">
        <v>23</v>
      </c>
      <c r="I16" s="2" t="s">
        <v>28</v>
      </c>
      <c r="J16" s="2" t="s">
        <v>36</v>
      </c>
      <c r="K16" s="2" t="s">
        <v>42</v>
      </c>
      <c r="L16" s="2">
        <v>1</v>
      </c>
      <c r="M16" s="2" t="s">
        <v>47</v>
      </c>
      <c r="N16" s="2" t="s">
        <v>86</v>
      </c>
      <c r="O16" s="2">
        <v>0</v>
      </c>
      <c r="P16" s="2" t="s">
        <v>323</v>
      </c>
      <c r="Q16" s="2">
        <v>0</v>
      </c>
      <c r="R16" s="2">
        <v>0</v>
      </c>
      <c r="S16" s="2">
        <v>1</v>
      </c>
      <c r="T16" s="2">
        <v>0</v>
      </c>
      <c r="U16" s="2">
        <v>0</v>
      </c>
      <c r="V16" s="2" t="s">
        <v>324</v>
      </c>
      <c r="W16" s="2" t="s">
        <v>325</v>
      </c>
      <c r="X16" s="2" t="s">
        <v>86</v>
      </c>
      <c r="Y16" s="2">
        <v>1</v>
      </c>
      <c r="Z16" s="2">
        <v>0</v>
      </c>
      <c r="AA16" s="2">
        <v>0</v>
      </c>
      <c r="AB16" s="2">
        <v>1</v>
      </c>
      <c r="AC16" s="2">
        <v>1</v>
      </c>
      <c r="AD16" s="2">
        <v>1</v>
      </c>
      <c r="AE16" s="2">
        <v>0</v>
      </c>
      <c r="AF16" s="2">
        <v>0</v>
      </c>
      <c r="AG16" s="2">
        <v>1</v>
      </c>
      <c r="AH16" s="2">
        <v>0</v>
      </c>
      <c r="AI16" s="2">
        <v>1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1</v>
      </c>
      <c r="AQ16" s="2">
        <v>0</v>
      </c>
      <c r="AR16" s="2"/>
      <c r="AS16" s="2"/>
      <c r="AT16" s="2"/>
      <c r="AU16" s="2"/>
      <c r="AV16" s="2"/>
      <c r="AW16" s="2"/>
      <c r="AX16" s="2">
        <v>0</v>
      </c>
      <c r="AY16" s="2"/>
      <c r="AZ16" s="2"/>
      <c r="BA16" s="2"/>
      <c r="BB16" s="2"/>
      <c r="BC16" s="2"/>
      <c r="BD16" s="2"/>
      <c r="BE16" s="2"/>
      <c r="BF16" s="2"/>
      <c r="BG16" s="2">
        <v>0</v>
      </c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>
        <v>1</v>
      </c>
      <c r="BV16" s="2">
        <v>1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</v>
      </c>
      <c r="CE16" s="2">
        <v>0</v>
      </c>
      <c r="CF16" s="2">
        <v>1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1</v>
      </c>
      <c r="CP16" s="2">
        <v>0</v>
      </c>
      <c r="CQ16" s="2"/>
      <c r="CR16" s="2"/>
      <c r="CS16" s="2"/>
      <c r="CT16" s="2"/>
      <c r="CU16" s="2"/>
      <c r="CV16" s="2"/>
      <c r="CW16" s="2"/>
      <c r="CX16" s="2"/>
    </row>
    <row r="17" ht="46" customHeight="1" spans="1:102">
      <c r="A17" s="2" t="s">
        <v>327</v>
      </c>
      <c r="B17" s="2">
        <v>17</v>
      </c>
      <c r="C17" s="2" t="s">
        <v>286</v>
      </c>
      <c r="D17" s="2">
        <v>1</v>
      </c>
      <c r="E17" s="2">
        <v>1</v>
      </c>
      <c r="F17" s="2">
        <v>240</v>
      </c>
      <c r="G17" s="2" t="s">
        <v>11</v>
      </c>
      <c r="H17" s="2" t="s">
        <v>14</v>
      </c>
      <c r="I17" s="2" t="s">
        <v>28</v>
      </c>
      <c r="J17" s="2" t="s">
        <v>37</v>
      </c>
      <c r="K17" s="2" t="s">
        <v>42</v>
      </c>
      <c r="L17" s="2">
        <v>1</v>
      </c>
      <c r="M17" s="2" t="s">
        <v>47</v>
      </c>
      <c r="N17" s="2" t="s">
        <v>86</v>
      </c>
      <c r="O17" s="2">
        <v>0</v>
      </c>
      <c r="P17" s="2" t="s">
        <v>323</v>
      </c>
      <c r="Q17" s="2">
        <v>0</v>
      </c>
      <c r="R17" s="2">
        <v>0</v>
      </c>
      <c r="S17" s="2">
        <v>1</v>
      </c>
      <c r="T17" s="2">
        <v>0</v>
      </c>
      <c r="U17" s="2">
        <v>0</v>
      </c>
      <c r="V17" s="2" t="s">
        <v>324</v>
      </c>
      <c r="W17" s="2" t="s">
        <v>325</v>
      </c>
      <c r="X17" s="2" t="s">
        <v>86</v>
      </c>
      <c r="Y17" s="2">
        <v>1</v>
      </c>
      <c r="Z17" s="2">
        <v>0</v>
      </c>
      <c r="AA17" s="2">
        <v>0</v>
      </c>
      <c r="AB17" s="2">
        <v>0</v>
      </c>
      <c r="AC17" s="2">
        <v>1</v>
      </c>
      <c r="AD17" s="2">
        <v>0</v>
      </c>
      <c r="AE17" s="2">
        <v>0</v>
      </c>
      <c r="AF17" s="2">
        <v>0</v>
      </c>
      <c r="AG17" s="2">
        <v>1</v>
      </c>
      <c r="AH17" s="2">
        <v>0</v>
      </c>
      <c r="AI17" s="2">
        <v>1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1</v>
      </c>
      <c r="AQ17" s="2">
        <v>0</v>
      </c>
      <c r="AR17" s="2"/>
      <c r="AS17" s="2"/>
      <c r="AT17" s="2"/>
      <c r="AU17" s="2"/>
      <c r="AV17" s="2"/>
      <c r="AW17" s="2"/>
      <c r="AX17" s="2">
        <v>0</v>
      </c>
      <c r="AY17" s="2"/>
      <c r="AZ17" s="2"/>
      <c r="BA17" s="2"/>
      <c r="BB17" s="2"/>
      <c r="BC17" s="2"/>
      <c r="BD17" s="2"/>
      <c r="BE17" s="2"/>
      <c r="BF17" s="2"/>
      <c r="BG17" s="2">
        <v>0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>
        <v>1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1</v>
      </c>
      <c r="CE17" s="2">
        <v>0</v>
      </c>
      <c r="CF17" s="2">
        <v>1</v>
      </c>
      <c r="CG17" s="2">
        <v>0</v>
      </c>
      <c r="CH17" s="2">
        <v>0</v>
      </c>
      <c r="CI17" s="2">
        <v>0</v>
      </c>
      <c r="CJ17" s="2">
        <v>0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/>
      <c r="CR17" s="2"/>
      <c r="CS17" s="2"/>
      <c r="CT17" s="2"/>
      <c r="CU17" s="2"/>
      <c r="CV17" s="2"/>
      <c r="CW17" s="2"/>
      <c r="CX17" s="2"/>
    </row>
    <row r="18" ht="46" customHeight="1" spans="1:102">
      <c r="A18" s="2" t="s">
        <v>328</v>
      </c>
      <c r="B18" s="2">
        <v>18</v>
      </c>
      <c r="C18" s="2" t="s">
        <v>286</v>
      </c>
      <c r="D18" s="2">
        <v>1</v>
      </c>
      <c r="E18" s="2">
        <v>1</v>
      </c>
      <c r="F18" s="2">
        <v>152</v>
      </c>
      <c r="G18" s="2" t="s">
        <v>11</v>
      </c>
      <c r="H18" s="2" t="s">
        <v>23</v>
      </c>
      <c r="I18" s="2" t="s">
        <v>28</v>
      </c>
      <c r="J18" s="2" t="s">
        <v>34</v>
      </c>
      <c r="K18" s="2" t="s">
        <v>46</v>
      </c>
      <c r="L18" s="2">
        <v>0</v>
      </c>
      <c r="M18" s="2" t="s">
        <v>43</v>
      </c>
      <c r="N18" s="2" t="s">
        <v>85</v>
      </c>
      <c r="O18" s="2">
        <v>1</v>
      </c>
      <c r="P18" s="2" t="s">
        <v>329</v>
      </c>
      <c r="Q18" s="2">
        <v>0</v>
      </c>
      <c r="R18" s="2">
        <v>0</v>
      </c>
      <c r="S18" s="2">
        <v>1</v>
      </c>
      <c r="T18" s="2">
        <v>0</v>
      </c>
      <c r="U18" s="2">
        <v>0</v>
      </c>
      <c r="V18" s="2" t="s">
        <v>324</v>
      </c>
      <c r="W18" s="2" t="s">
        <v>325</v>
      </c>
      <c r="X18" s="2" t="s">
        <v>85</v>
      </c>
      <c r="Y18" s="2">
        <v>0</v>
      </c>
      <c r="Z18" s="2"/>
      <c r="AA18" s="2"/>
      <c r="AB18" s="2"/>
      <c r="AC18" s="2"/>
      <c r="AD18" s="2"/>
      <c r="AE18" s="2"/>
      <c r="AF18" s="2"/>
      <c r="AG18" s="2">
        <v>0</v>
      </c>
      <c r="AH18" s="2"/>
      <c r="AI18" s="2"/>
      <c r="AJ18" s="2"/>
      <c r="AK18" s="2"/>
      <c r="AL18" s="2"/>
      <c r="AM18" s="2"/>
      <c r="AN18" s="2"/>
      <c r="AO18" s="2"/>
      <c r="AP18" s="2"/>
      <c r="AQ18" s="2">
        <v>0</v>
      </c>
      <c r="AR18" s="2"/>
      <c r="AS18" s="2"/>
      <c r="AT18" s="2"/>
      <c r="AU18" s="2"/>
      <c r="AV18" s="2"/>
      <c r="AW18" s="2"/>
      <c r="AX18" s="2">
        <v>0</v>
      </c>
      <c r="AY18" s="2"/>
      <c r="AZ18" s="2"/>
      <c r="BA18" s="2"/>
      <c r="BB18" s="2"/>
      <c r="BC18" s="2"/>
      <c r="BD18" s="2"/>
      <c r="BE18" s="2"/>
      <c r="BF18" s="2"/>
      <c r="BG18" s="2">
        <v>0</v>
      </c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>
        <v>1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1</v>
      </c>
      <c r="CD18" s="2">
        <v>0</v>
      </c>
      <c r="CE18" s="2">
        <v>0</v>
      </c>
      <c r="CF18" s="2">
        <v>1</v>
      </c>
      <c r="CG18" s="2">
        <v>0</v>
      </c>
      <c r="CH18" s="2">
        <v>0</v>
      </c>
      <c r="CI18" s="2">
        <v>1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/>
      <c r="CR18" s="2"/>
      <c r="CS18" s="2"/>
      <c r="CT18" s="2"/>
      <c r="CU18" s="2"/>
      <c r="CV18" s="2"/>
      <c r="CW18" s="2"/>
      <c r="CX18" s="2"/>
    </row>
    <row r="19" ht="46" customHeight="1" spans="1:102">
      <c r="A19" s="2" t="s">
        <v>330</v>
      </c>
      <c r="B19" s="2">
        <v>19</v>
      </c>
      <c r="C19" s="2" t="s">
        <v>286</v>
      </c>
      <c r="D19" s="2">
        <v>1</v>
      </c>
      <c r="E19" s="2">
        <v>1</v>
      </c>
      <c r="F19" s="2">
        <v>128</v>
      </c>
      <c r="G19" s="2" t="s">
        <v>11</v>
      </c>
      <c r="H19" s="2" t="s">
        <v>24</v>
      </c>
      <c r="I19" s="2" t="s">
        <v>14</v>
      </c>
      <c r="J19" s="2" t="s">
        <v>37</v>
      </c>
      <c r="K19" s="2" t="s">
        <v>46</v>
      </c>
      <c r="L19" s="2">
        <v>0</v>
      </c>
      <c r="M19" s="2" t="s">
        <v>43</v>
      </c>
      <c r="N19" s="2" t="s">
        <v>85</v>
      </c>
      <c r="O19" s="2">
        <v>1</v>
      </c>
      <c r="P19" s="2" t="s">
        <v>331</v>
      </c>
      <c r="Q19" s="2">
        <v>0</v>
      </c>
      <c r="R19" s="2">
        <v>0</v>
      </c>
      <c r="S19" s="2">
        <v>1</v>
      </c>
      <c r="T19" s="2">
        <v>1</v>
      </c>
      <c r="U19" s="2">
        <v>0</v>
      </c>
      <c r="V19" s="2" t="s">
        <v>324</v>
      </c>
      <c r="W19" s="2" t="s">
        <v>325</v>
      </c>
      <c r="X19" s="2" t="s">
        <v>85</v>
      </c>
      <c r="Y19" s="2">
        <v>0</v>
      </c>
      <c r="Z19" s="2"/>
      <c r="AA19" s="2"/>
      <c r="AB19" s="2"/>
      <c r="AC19" s="2"/>
      <c r="AD19" s="2"/>
      <c r="AE19" s="2"/>
      <c r="AF19" s="2"/>
      <c r="AG19" s="2">
        <v>0</v>
      </c>
      <c r="AH19" s="2"/>
      <c r="AI19" s="2"/>
      <c r="AJ19" s="2"/>
      <c r="AK19" s="2"/>
      <c r="AL19" s="2"/>
      <c r="AM19" s="2"/>
      <c r="AN19" s="2"/>
      <c r="AO19" s="2"/>
      <c r="AP19" s="2"/>
      <c r="AQ19" s="2">
        <v>0</v>
      </c>
      <c r="AR19" s="2"/>
      <c r="AS19" s="2"/>
      <c r="AT19" s="2"/>
      <c r="AU19" s="2"/>
      <c r="AV19" s="2"/>
      <c r="AW19" s="2"/>
      <c r="AX19" s="2">
        <v>0</v>
      </c>
      <c r="AY19" s="2"/>
      <c r="AZ19" s="2"/>
      <c r="BA19" s="2"/>
      <c r="BB19" s="2"/>
      <c r="BC19" s="2"/>
      <c r="BD19" s="2"/>
      <c r="BE19" s="2"/>
      <c r="BF19" s="2"/>
      <c r="BG19" s="2">
        <v>0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>
        <v>1</v>
      </c>
      <c r="BV19" s="2">
        <v>0</v>
      </c>
      <c r="BW19" s="2">
        <v>0</v>
      </c>
      <c r="BX19" s="2">
        <v>1</v>
      </c>
      <c r="BY19" s="2">
        <v>0</v>
      </c>
      <c r="BZ19" s="2">
        <v>0</v>
      </c>
      <c r="CA19" s="2">
        <v>0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</row>
    <row r="20" ht="46" customHeight="1" spans="1:102">
      <c r="A20" s="2" t="s">
        <v>332</v>
      </c>
      <c r="B20" s="2">
        <v>20</v>
      </c>
      <c r="C20" s="2" t="s">
        <v>286</v>
      </c>
      <c r="D20" s="2">
        <v>1</v>
      </c>
      <c r="E20" s="2">
        <v>1</v>
      </c>
      <c r="F20" s="2">
        <v>143</v>
      </c>
      <c r="G20" s="2" t="s">
        <v>11</v>
      </c>
      <c r="H20" s="2" t="s">
        <v>24</v>
      </c>
      <c r="I20" s="2" t="s">
        <v>28</v>
      </c>
      <c r="J20" s="2" t="s">
        <v>35</v>
      </c>
      <c r="K20" s="2" t="s">
        <v>42</v>
      </c>
      <c r="L20" s="2">
        <v>1</v>
      </c>
      <c r="M20" s="2" t="s">
        <v>47</v>
      </c>
      <c r="N20" s="2" t="s">
        <v>86</v>
      </c>
      <c r="O20" s="2">
        <v>0</v>
      </c>
      <c r="P20" s="2" t="s">
        <v>323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 t="s">
        <v>324</v>
      </c>
      <c r="W20" s="2" t="s">
        <v>325</v>
      </c>
      <c r="X20" s="2" t="s">
        <v>86</v>
      </c>
      <c r="Y20" s="2">
        <v>1</v>
      </c>
      <c r="Z20" s="2">
        <v>0</v>
      </c>
      <c r="AA20" s="2">
        <v>0</v>
      </c>
      <c r="AB20" s="2">
        <v>0</v>
      </c>
      <c r="AC20" s="2">
        <v>1</v>
      </c>
      <c r="AD20" s="2">
        <v>0</v>
      </c>
      <c r="AE20" s="2">
        <v>1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</v>
      </c>
      <c r="AQ20" s="2">
        <v>0</v>
      </c>
      <c r="AR20" s="2"/>
      <c r="AS20" s="2"/>
      <c r="AT20" s="2"/>
      <c r="AU20" s="2"/>
      <c r="AV20" s="2"/>
      <c r="AW20" s="2"/>
      <c r="AX20" s="2">
        <v>0</v>
      </c>
      <c r="AY20" s="2"/>
      <c r="AZ20" s="2"/>
      <c r="BA20" s="2"/>
      <c r="BB20" s="2"/>
      <c r="BC20" s="2"/>
      <c r="BD20" s="2"/>
      <c r="BE20" s="2"/>
      <c r="BF20" s="2"/>
      <c r="BG20" s="2">
        <v>0</v>
      </c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>
        <v>1</v>
      </c>
      <c r="BV20" s="2">
        <v>0</v>
      </c>
      <c r="BW20" s="2">
        <v>0</v>
      </c>
      <c r="BX20" s="2">
        <v>1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1</v>
      </c>
      <c r="CG20" s="2">
        <v>0</v>
      </c>
      <c r="CH20" s="2">
        <v>0</v>
      </c>
      <c r="CI20" s="2">
        <v>0</v>
      </c>
      <c r="CJ20" s="2">
        <v>1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/>
      <c r="CR20" s="2"/>
      <c r="CS20" s="2"/>
      <c r="CT20" s="2"/>
      <c r="CU20" s="2"/>
      <c r="CV20" s="2"/>
      <c r="CW20" s="2"/>
      <c r="CX20" s="2"/>
    </row>
    <row r="21" ht="46" customHeight="1" spans="1:102">
      <c r="A21" s="2" t="s">
        <v>333</v>
      </c>
      <c r="B21" s="2">
        <v>21</v>
      </c>
      <c r="C21" s="2" t="s">
        <v>316</v>
      </c>
      <c r="D21" s="2">
        <v>1</v>
      </c>
      <c r="E21" s="2">
        <v>0</v>
      </c>
      <c r="F21" s="2">
        <v>256</v>
      </c>
      <c r="G21" s="2" t="s">
        <v>14</v>
      </c>
      <c r="H21" s="2" t="s">
        <v>23</v>
      </c>
      <c r="I21" s="2" t="s">
        <v>28</v>
      </c>
      <c r="J21" s="2" t="s">
        <v>37</v>
      </c>
      <c r="K21" s="2" t="s">
        <v>46</v>
      </c>
      <c r="L21" s="2">
        <v>0</v>
      </c>
      <c r="M21" s="2" t="s">
        <v>43</v>
      </c>
      <c r="N21" s="2" t="s">
        <v>287</v>
      </c>
      <c r="O21" s="2">
        <v>0</v>
      </c>
      <c r="P21" s="2" t="s">
        <v>334</v>
      </c>
      <c r="Q21" s="2">
        <v>1</v>
      </c>
      <c r="R21" s="2">
        <v>0</v>
      </c>
      <c r="S21" s="2">
        <v>1</v>
      </c>
      <c r="T21" s="2">
        <v>0</v>
      </c>
      <c r="U21" s="2">
        <v>1</v>
      </c>
      <c r="V21" s="2" t="s">
        <v>289</v>
      </c>
      <c r="W21" s="2" t="s">
        <v>294</v>
      </c>
      <c r="X21" s="2" t="s">
        <v>83</v>
      </c>
      <c r="Y21" s="2">
        <v>0</v>
      </c>
      <c r="Z21" s="2"/>
      <c r="AA21" s="2"/>
      <c r="AB21" s="2"/>
      <c r="AC21" s="2"/>
      <c r="AD21" s="2"/>
      <c r="AE21" s="2"/>
      <c r="AF21" s="2"/>
      <c r="AG21" s="2">
        <v>0</v>
      </c>
      <c r="AH21" s="2"/>
      <c r="AI21" s="2"/>
      <c r="AJ21" s="2"/>
      <c r="AK21" s="2"/>
      <c r="AL21" s="2"/>
      <c r="AM21" s="2"/>
      <c r="AN21" s="2"/>
      <c r="AO21" s="2"/>
      <c r="AP21" s="2"/>
      <c r="AQ21" s="2">
        <v>1</v>
      </c>
      <c r="AR21" s="2">
        <v>0</v>
      </c>
      <c r="AS21" s="2">
        <v>0</v>
      </c>
      <c r="AT21" s="2">
        <v>0</v>
      </c>
      <c r="AU21" s="2">
        <v>0</v>
      </c>
      <c r="AV21" s="2">
        <v>1</v>
      </c>
      <c r="AW21" s="2">
        <v>0</v>
      </c>
      <c r="AX21" s="2">
        <v>1</v>
      </c>
      <c r="AY21" s="2">
        <v>1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1</v>
      </c>
      <c r="BG21" s="2">
        <v>0</v>
      </c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>
        <v>1</v>
      </c>
      <c r="BV21" s="2">
        <v>1</v>
      </c>
      <c r="BW21" s="2">
        <v>1</v>
      </c>
      <c r="BX21" s="2">
        <v>1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1</v>
      </c>
      <c r="CG21" s="2">
        <v>0</v>
      </c>
      <c r="CH21" s="2">
        <v>1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/>
      <c r="CR21" s="2"/>
      <c r="CS21" s="2"/>
      <c r="CT21" s="2"/>
      <c r="CU21" s="2"/>
      <c r="CV21" s="2"/>
      <c r="CW21" s="2"/>
      <c r="CX21" s="2"/>
    </row>
    <row r="22" ht="46" customHeight="1" spans="1:102">
      <c r="A22" s="2" t="s">
        <v>335</v>
      </c>
      <c r="B22" s="2">
        <v>22</v>
      </c>
      <c r="C22" s="2" t="s">
        <v>316</v>
      </c>
      <c r="D22" s="2">
        <v>1</v>
      </c>
      <c r="E22" s="2">
        <v>0</v>
      </c>
      <c r="F22" s="2">
        <v>225</v>
      </c>
      <c r="G22" s="2" t="s">
        <v>11</v>
      </c>
      <c r="H22" s="2" t="s">
        <v>24</v>
      </c>
      <c r="I22" s="2" t="s">
        <v>30</v>
      </c>
      <c r="J22" s="2" t="s">
        <v>38</v>
      </c>
      <c r="K22" s="2" t="s">
        <v>42</v>
      </c>
      <c r="L22" s="2">
        <v>1</v>
      </c>
      <c r="M22" s="2" t="s">
        <v>45</v>
      </c>
      <c r="N22" s="2" t="s">
        <v>85</v>
      </c>
      <c r="O22" s="2">
        <v>0</v>
      </c>
      <c r="P22" s="2" t="s">
        <v>336</v>
      </c>
      <c r="Q22" s="2">
        <v>1</v>
      </c>
      <c r="R22" s="2">
        <v>0</v>
      </c>
      <c r="S22" s="2">
        <v>1</v>
      </c>
      <c r="T22" s="2">
        <v>0</v>
      </c>
      <c r="U22" s="2">
        <v>1</v>
      </c>
      <c r="V22" s="2" t="s">
        <v>289</v>
      </c>
      <c r="W22" s="2" t="s">
        <v>299</v>
      </c>
      <c r="X22" s="2" t="s">
        <v>85</v>
      </c>
      <c r="Y22" s="2">
        <v>1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0</v>
      </c>
      <c r="AG22" s="2">
        <v>1</v>
      </c>
      <c r="AH22" s="2">
        <v>0</v>
      </c>
      <c r="AI22" s="2">
        <v>1</v>
      </c>
      <c r="AJ22" s="2">
        <v>0</v>
      </c>
      <c r="AK22" s="2">
        <v>1</v>
      </c>
      <c r="AL22" s="2">
        <v>0</v>
      </c>
      <c r="AM22" s="2">
        <v>0</v>
      </c>
      <c r="AN22" s="2">
        <v>0</v>
      </c>
      <c r="AO22" s="2">
        <v>0</v>
      </c>
      <c r="AP22" s="2">
        <v>1</v>
      </c>
      <c r="AQ22" s="2">
        <v>0</v>
      </c>
      <c r="AR22" s="2"/>
      <c r="AS22" s="2"/>
      <c r="AT22" s="2"/>
      <c r="AU22" s="2"/>
      <c r="AV22" s="2"/>
      <c r="AW22" s="2"/>
      <c r="AX22" s="2">
        <v>0</v>
      </c>
      <c r="AY22" s="2"/>
      <c r="AZ22" s="2"/>
      <c r="BA22" s="2"/>
      <c r="BB22" s="2"/>
      <c r="BC22" s="2"/>
      <c r="BD22" s="2"/>
      <c r="BE22" s="2"/>
      <c r="BF22" s="2"/>
      <c r="BG22" s="2">
        <v>0</v>
      </c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>
        <v>1</v>
      </c>
      <c r="BV22" s="2">
        <v>0</v>
      </c>
      <c r="BW22" s="2">
        <v>0</v>
      </c>
      <c r="BX22" s="2">
        <v>1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1</v>
      </c>
      <c r="CE22" s="2">
        <v>0</v>
      </c>
      <c r="CF22" s="2">
        <v>1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1</v>
      </c>
      <c r="CO22" s="2">
        <v>0</v>
      </c>
      <c r="CP22" s="2">
        <v>0</v>
      </c>
      <c r="CQ22" s="2"/>
      <c r="CR22" s="2"/>
      <c r="CS22" s="2"/>
      <c r="CT22" s="2"/>
      <c r="CU22" s="2"/>
      <c r="CV22" s="2"/>
      <c r="CW22" s="2"/>
      <c r="CX22" s="2"/>
    </row>
    <row r="23" ht="46" customHeight="1" spans="1:102">
      <c r="A23" s="2" t="s">
        <v>337</v>
      </c>
      <c r="B23" s="2">
        <v>23</v>
      </c>
      <c r="C23" s="2" t="s">
        <v>316</v>
      </c>
      <c r="D23" s="2">
        <v>1</v>
      </c>
      <c r="E23" s="2">
        <v>0</v>
      </c>
      <c r="F23" s="2">
        <v>285</v>
      </c>
      <c r="G23" s="2" t="s">
        <v>9</v>
      </c>
      <c r="H23" s="2" t="s">
        <v>24</v>
      </c>
      <c r="I23" s="2" t="s">
        <v>28</v>
      </c>
      <c r="J23" s="2" t="s">
        <v>35</v>
      </c>
      <c r="K23" s="2" t="s">
        <v>42</v>
      </c>
      <c r="L23" s="2">
        <v>1</v>
      </c>
      <c r="M23" s="2" t="s">
        <v>43</v>
      </c>
      <c r="N23" s="2" t="s">
        <v>287</v>
      </c>
      <c r="O23" s="2">
        <v>0</v>
      </c>
      <c r="P23" s="2" t="s">
        <v>336</v>
      </c>
      <c r="Q23" s="2">
        <v>1</v>
      </c>
      <c r="R23" s="2">
        <v>0</v>
      </c>
      <c r="S23" s="2">
        <v>1</v>
      </c>
      <c r="T23" s="2">
        <v>0</v>
      </c>
      <c r="U23" s="2">
        <v>1</v>
      </c>
      <c r="V23" s="2" t="s">
        <v>289</v>
      </c>
      <c r="W23" s="2" t="s">
        <v>290</v>
      </c>
      <c r="X23" s="2" t="s">
        <v>83</v>
      </c>
      <c r="Y23" s="2">
        <v>1</v>
      </c>
      <c r="Z23" s="2">
        <v>0</v>
      </c>
      <c r="AA23" s="2">
        <v>0</v>
      </c>
      <c r="AB23" s="2">
        <v>0</v>
      </c>
      <c r="AC23" s="2">
        <v>1</v>
      </c>
      <c r="AD23" s="2">
        <v>0</v>
      </c>
      <c r="AE23" s="2">
        <v>0</v>
      </c>
      <c r="AF23" s="2">
        <v>0</v>
      </c>
      <c r="AG23" s="2">
        <v>1</v>
      </c>
      <c r="AH23" s="2">
        <v>0</v>
      </c>
      <c r="AI23" s="2">
        <v>0</v>
      </c>
      <c r="AJ23" s="2">
        <v>0</v>
      </c>
      <c r="AK23" s="2">
        <v>1</v>
      </c>
      <c r="AL23" s="2">
        <v>0</v>
      </c>
      <c r="AM23" s="2">
        <v>0</v>
      </c>
      <c r="AN23" s="2">
        <v>0</v>
      </c>
      <c r="AO23" s="2">
        <v>0</v>
      </c>
      <c r="AP23" s="2">
        <v>1</v>
      </c>
      <c r="AQ23" s="2">
        <v>1</v>
      </c>
      <c r="AR23" s="2">
        <v>0</v>
      </c>
      <c r="AS23" s="2">
        <v>0</v>
      </c>
      <c r="AT23" s="2">
        <v>0</v>
      </c>
      <c r="AU23" s="2">
        <v>1</v>
      </c>
      <c r="AV23" s="2">
        <v>0</v>
      </c>
      <c r="AW23" s="2">
        <v>0</v>
      </c>
      <c r="AX23" s="2">
        <v>1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1</v>
      </c>
      <c r="BG23" s="2">
        <v>0</v>
      </c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>
        <v>1</v>
      </c>
      <c r="BV23" s="2">
        <v>1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1</v>
      </c>
      <c r="CG23" s="2">
        <v>0</v>
      </c>
      <c r="CH23" s="2">
        <v>0</v>
      </c>
      <c r="CI23" s="2">
        <v>1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/>
      <c r="CR23" s="2"/>
      <c r="CS23" s="2"/>
      <c r="CT23" s="2"/>
      <c r="CU23" s="2"/>
      <c r="CV23" s="2"/>
      <c r="CW23" s="2"/>
      <c r="CX23" s="2"/>
    </row>
    <row r="24" ht="46" customHeight="1" spans="1:102">
      <c r="A24" s="2" t="s">
        <v>338</v>
      </c>
      <c r="B24" s="2">
        <v>24</v>
      </c>
      <c r="C24" s="2" t="s">
        <v>286</v>
      </c>
      <c r="D24" s="2">
        <v>1</v>
      </c>
      <c r="E24" s="2">
        <v>1</v>
      </c>
      <c r="F24" s="2">
        <v>313</v>
      </c>
      <c r="G24" s="2" t="s">
        <v>11</v>
      </c>
      <c r="H24" s="2" t="s">
        <v>24</v>
      </c>
      <c r="I24" s="2" t="s">
        <v>28</v>
      </c>
      <c r="J24" s="2" t="s">
        <v>34</v>
      </c>
      <c r="K24" s="2" t="s">
        <v>42</v>
      </c>
      <c r="L24" s="2">
        <v>1</v>
      </c>
      <c r="M24" s="2" t="s">
        <v>43</v>
      </c>
      <c r="N24" s="2" t="s">
        <v>287</v>
      </c>
      <c r="O24" s="2">
        <v>0</v>
      </c>
      <c r="P24" s="2" t="s">
        <v>301</v>
      </c>
      <c r="Q24" s="2">
        <v>0</v>
      </c>
      <c r="R24" s="2">
        <v>0</v>
      </c>
      <c r="S24" s="2">
        <v>0</v>
      </c>
      <c r="T24" s="2">
        <v>1</v>
      </c>
      <c r="U24" s="2">
        <v>0</v>
      </c>
      <c r="V24" s="2" t="s">
        <v>293</v>
      </c>
      <c r="W24" s="2" t="s">
        <v>319</v>
      </c>
      <c r="X24" s="2" t="s">
        <v>84</v>
      </c>
      <c r="Y24" s="2">
        <v>1</v>
      </c>
      <c r="Z24" s="2">
        <v>0</v>
      </c>
      <c r="AA24" s="2">
        <v>0</v>
      </c>
      <c r="AB24" s="2">
        <v>0</v>
      </c>
      <c r="AC24" s="2">
        <v>0</v>
      </c>
      <c r="AD24" s="2">
        <v>1</v>
      </c>
      <c r="AE24" s="2">
        <v>0</v>
      </c>
      <c r="AF24" s="2">
        <v>0</v>
      </c>
      <c r="AG24" s="2">
        <v>1</v>
      </c>
      <c r="AH24" s="2">
        <v>1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1</v>
      </c>
      <c r="AR24" s="2">
        <v>0</v>
      </c>
      <c r="AS24" s="2">
        <v>0</v>
      </c>
      <c r="AT24" s="2">
        <v>0</v>
      </c>
      <c r="AU24" s="2">
        <v>1</v>
      </c>
      <c r="AV24" s="2">
        <v>0</v>
      </c>
      <c r="AW24" s="2">
        <v>0</v>
      </c>
      <c r="AX24" s="2">
        <v>1</v>
      </c>
      <c r="AY24" s="2">
        <v>1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1</v>
      </c>
      <c r="BG24" s="2">
        <v>1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1</v>
      </c>
      <c r="BR24" s="2">
        <v>0</v>
      </c>
      <c r="BS24" s="2">
        <v>0</v>
      </c>
      <c r="BT24" s="2">
        <v>0</v>
      </c>
      <c r="BU24" s="2">
        <v>1</v>
      </c>
      <c r="BV24" s="2">
        <v>1</v>
      </c>
      <c r="BW24" s="2">
        <v>0</v>
      </c>
      <c r="BX24" s="2">
        <v>1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>
        <v>5</v>
      </c>
      <c r="CR24" s="2" t="s">
        <v>146</v>
      </c>
      <c r="CS24" s="2">
        <v>4</v>
      </c>
      <c r="CT24" s="2" t="s">
        <v>145</v>
      </c>
      <c r="CU24" s="2">
        <v>4</v>
      </c>
      <c r="CV24" s="2" t="s">
        <v>145</v>
      </c>
      <c r="CW24" s="2">
        <v>3</v>
      </c>
      <c r="CX24" s="2" t="s">
        <v>47</v>
      </c>
    </row>
    <row r="25" ht="46" customHeight="1" spans="1:102">
      <c r="A25" s="2" t="s">
        <v>339</v>
      </c>
      <c r="B25" s="2">
        <v>25</v>
      </c>
      <c r="C25" s="2" t="s">
        <v>316</v>
      </c>
      <c r="D25" s="2">
        <v>1</v>
      </c>
      <c r="E25" s="2">
        <v>0</v>
      </c>
      <c r="F25" s="2">
        <v>240</v>
      </c>
      <c r="G25" s="2" t="s">
        <v>7</v>
      </c>
      <c r="H25" s="2" t="s">
        <v>23</v>
      </c>
      <c r="I25" s="2" t="s">
        <v>14</v>
      </c>
      <c r="J25" s="2" t="s">
        <v>37</v>
      </c>
      <c r="K25" s="2" t="s">
        <v>44</v>
      </c>
      <c r="L25" s="2">
        <v>1</v>
      </c>
      <c r="M25" s="2" t="s">
        <v>45</v>
      </c>
      <c r="N25" s="2" t="s">
        <v>85</v>
      </c>
      <c r="O25" s="2">
        <v>0</v>
      </c>
      <c r="P25" s="2" t="s">
        <v>340</v>
      </c>
      <c r="Q25" s="2">
        <v>1</v>
      </c>
      <c r="R25" s="2">
        <v>0</v>
      </c>
      <c r="S25" s="2">
        <v>1</v>
      </c>
      <c r="T25" s="2">
        <v>0</v>
      </c>
      <c r="U25" s="2">
        <v>1</v>
      </c>
      <c r="V25" s="2" t="s">
        <v>293</v>
      </c>
      <c r="W25" s="2" t="s">
        <v>299</v>
      </c>
      <c r="X25" s="2" t="s">
        <v>85</v>
      </c>
      <c r="Y25" s="2">
        <v>0</v>
      </c>
      <c r="Z25" s="2"/>
      <c r="AA25" s="2"/>
      <c r="AB25" s="2"/>
      <c r="AC25" s="2"/>
      <c r="AD25" s="2"/>
      <c r="AE25" s="2"/>
      <c r="AF25" s="2"/>
      <c r="AG25" s="2">
        <v>1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/>
      <c r="AS25" s="2"/>
      <c r="AT25" s="2"/>
      <c r="AU25" s="2"/>
      <c r="AV25" s="2"/>
      <c r="AW25" s="2"/>
      <c r="AX25" s="2">
        <v>0</v>
      </c>
      <c r="AY25" s="2"/>
      <c r="AZ25" s="2"/>
      <c r="BA25" s="2"/>
      <c r="BB25" s="2"/>
      <c r="BC25" s="2"/>
      <c r="BD25" s="2"/>
      <c r="BE25" s="2"/>
      <c r="BF25" s="2"/>
      <c r="BG25" s="2">
        <v>0</v>
      </c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>
        <v>0</v>
      </c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>
        <v>1</v>
      </c>
      <c r="CG25" s="2">
        <v>0</v>
      </c>
      <c r="CH25" s="2">
        <v>1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/>
      <c r="CR25" s="2"/>
      <c r="CS25" s="2"/>
      <c r="CT25" s="2"/>
      <c r="CU25" s="2"/>
      <c r="CV25" s="2"/>
      <c r="CW25" s="2"/>
      <c r="CX25" s="2"/>
    </row>
    <row r="26" ht="46" customHeight="1" spans="1:102">
      <c r="A26" s="2" t="s">
        <v>341</v>
      </c>
      <c r="B26" s="2">
        <v>26</v>
      </c>
      <c r="C26" s="2" t="s">
        <v>316</v>
      </c>
      <c r="D26" s="2">
        <v>1</v>
      </c>
      <c r="E26" s="2">
        <v>0</v>
      </c>
      <c r="F26" s="2">
        <v>229</v>
      </c>
      <c r="G26" s="2" t="s">
        <v>11</v>
      </c>
      <c r="H26" s="2" t="s">
        <v>24</v>
      </c>
      <c r="I26" s="2" t="s">
        <v>28</v>
      </c>
      <c r="J26" s="2" t="s">
        <v>36</v>
      </c>
      <c r="K26" s="2" t="s">
        <v>48</v>
      </c>
      <c r="L26" s="2">
        <v>1</v>
      </c>
      <c r="M26" s="2" t="s">
        <v>43</v>
      </c>
      <c r="N26" s="2" t="s">
        <v>85</v>
      </c>
      <c r="O26" s="2">
        <v>0</v>
      </c>
      <c r="P26" s="2" t="s">
        <v>321</v>
      </c>
      <c r="Q26" s="2">
        <v>1</v>
      </c>
      <c r="R26" s="2">
        <v>0</v>
      </c>
      <c r="S26" s="2">
        <v>1</v>
      </c>
      <c r="T26" s="2">
        <v>1</v>
      </c>
      <c r="U26" s="2">
        <v>1</v>
      </c>
      <c r="V26" s="2" t="s">
        <v>289</v>
      </c>
      <c r="W26" s="2" t="s">
        <v>299</v>
      </c>
      <c r="X26" s="2" t="s">
        <v>85</v>
      </c>
      <c r="Y26" s="2">
        <v>1</v>
      </c>
      <c r="Z26" s="2">
        <v>0</v>
      </c>
      <c r="AA26" s="2">
        <v>0</v>
      </c>
      <c r="AB26" s="2">
        <v>1</v>
      </c>
      <c r="AC26" s="2">
        <v>1</v>
      </c>
      <c r="AD26" s="2">
        <v>0</v>
      </c>
      <c r="AE26" s="2">
        <v>1</v>
      </c>
      <c r="AF26" s="2">
        <v>0</v>
      </c>
      <c r="AG26" s="2">
        <v>1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1</v>
      </c>
      <c r="AQ26" s="2">
        <v>1</v>
      </c>
      <c r="AR26" s="2">
        <v>1</v>
      </c>
      <c r="AS26" s="2">
        <v>0</v>
      </c>
      <c r="AT26" s="2">
        <v>0</v>
      </c>
      <c r="AU26" s="2">
        <v>1</v>
      </c>
      <c r="AV26" s="2">
        <v>1</v>
      </c>
      <c r="AW26" s="2">
        <v>0</v>
      </c>
      <c r="AX26" s="2">
        <v>0</v>
      </c>
      <c r="AY26" s="2"/>
      <c r="AZ26" s="2"/>
      <c r="BA26" s="2"/>
      <c r="BB26" s="2"/>
      <c r="BC26" s="2"/>
      <c r="BD26" s="2"/>
      <c r="BE26" s="2"/>
      <c r="BF26" s="2"/>
      <c r="BG26" s="2">
        <v>0</v>
      </c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>
        <v>1</v>
      </c>
      <c r="BV26" s="2">
        <v>0</v>
      </c>
      <c r="BW26" s="2">
        <v>0</v>
      </c>
      <c r="BX26" s="2">
        <v>1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</row>
    <row r="27" ht="46" customHeight="1" spans="1:102">
      <c r="A27" s="2" t="s">
        <v>342</v>
      </c>
      <c r="B27" s="2">
        <v>27</v>
      </c>
      <c r="C27" s="2" t="s">
        <v>286</v>
      </c>
      <c r="D27" s="2">
        <v>1</v>
      </c>
      <c r="E27" s="2">
        <v>1</v>
      </c>
      <c r="F27" s="2">
        <v>250</v>
      </c>
      <c r="G27" s="2" t="s">
        <v>11</v>
      </c>
      <c r="H27" s="2" t="s">
        <v>14</v>
      </c>
      <c r="I27" s="2" t="s">
        <v>28</v>
      </c>
      <c r="J27" s="2" t="s">
        <v>37</v>
      </c>
      <c r="K27" s="2" t="s">
        <v>46</v>
      </c>
      <c r="L27" s="2">
        <v>0</v>
      </c>
      <c r="M27" s="2" t="s">
        <v>47</v>
      </c>
      <c r="N27" s="2" t="s">
        <v>86</v>
      </c>
      <c r="O27" s="2">
        <v>0</v>
      </c>
      <c r="P27" s="2" t="s">
        <v>323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  <c r="V27" s="2" t="s">
        <v>324</v>
      </c>
      <c r="W27" s="2" t="s">
        <v>325</v>
      </c>
      <c r="X27" s="2" t="s">
        <v>86</v>
      </c>
      <c r="Y27" s="2">
        <v>0</v>
      </c>
      <c r="Z27" s="2"/>
      <c r="AA27" s="2"/>
      <c r="AB27" s="2"/>
      <c r="AC27" s="2"/>
      <c r="AD27" s="2"/>
      <c r="AE27" s="2"/>
      <c r="AF27" s="2"/>
      <c r="AG27" s="2">
        <v>0</v>
      </c>
      <c r="AH27" s="2"/>
      <c r="AI27" s="2"/>
      <c r="AJ27" s="2"/>
      <c r="AK27" s="2"/>
      <c r="AL27" s="2"/>
      <c r="AM27" s="2"/>
      <c r="AN27" s="2"/>
      <c r="AO27" s="2"/>
      <c r="AP27" s="2"/>
      <c r="AQ27" s="2">
        <v>0</v>
      </c>
      <c r="AR27" s="2"/>
      <c r="AS27" s="2"/>
      <c r="AT27" s="2"/>
      <c r="AU27" s="2"/>
      <c r="AV27" s="2"/>
      <c r="AW27" s="2"/>
      <c r="AX27" s="2">
        <v>0</v>
      </c>
      <c r="AY27" s="2"/>
      <c r="AZ27" s="2"/>
      <c r="BA27" s="2"/>
      <c r="BB27" s="2"/>
      <c r="BC27" s="2"/>
      <c r="BD27" s="2"/>
      <c r="BE27" s="2"/>
      <c r="BF27" s="2"/>
      <c r="BG27" s="2">
        <v>0</v>
      </c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>
        <v>1</v>
      </c>
      <c r="BV27" s="2">
        <v>0</v>
      </c>
      <c r="BW27" s="2">
        <v>1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1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1</v>
      </c>
      <c r="CP27" s="2">
        <v>0</v>
      </c>
      <c r="CQ27" s="2"/>
      <c r="CR27" s="2"/>
      <c r="CS27" s="2"/>
      <c r="CT27" s="2"/>
      <c r="CU27" s="2"/>
      <c r="CV27" s="2"/>
      <c r="CW27" s="2"/>
      <c r="CX27" s="2"/>
    </row>
    <row r="28" ht="46" customHeight="1" spans="1:102">
      <c r="A28" s="2" t="s">
        <v>343</v>
      </c>
      <c r="B28" s="2">
        <v>28</v>
      </c>
      <c r="C28" s="2" t="s">
        <v>286</v>
      </c>
      <c r="D28" s="2">
        <v>1</v>
      </c>
      <c r="E28" s="2">
        <v>1</v>
      </c>
      <c r="F28" s="2">
        <v>201</v>
      </c>
      <c r="G28" s="2" t="s">
        <v>9</v>
      </c>
      <c r="H28" s="2" t="s">
        <v>24</v>
      </c>
      <c r="I28" s="2" t="s">
        <v>28</v>
      </c>
      <c r="J28" s="2" t="s">
        <v>37</v>
      </c>
      <c r="K28" s="2" t="s">
        <v>44</v>
      </c>
      <c r="L28" s="2">
        <v>1</v>
      </c>
      <c r="M28" s="2" t="s">
        <v>47</v>
      </c>
      <c r="N28" s="2" t="s">
        <v>86</v>
      </c>
      <c r="O28" s="2">
        <v>0</v>
      </c>
      <c r="P28" s="2" t="s">
        <v>344</v>
      </c>
      <c r="Q28" s="2">
        <v>0</v>
      </c>
      <c r="R28" s="2">
        <v>0</v>
      </c>
      <c r="S28" s="2">
        <v>1</v>
      </c>
      <c r="T28" s="2">
        <v>1</v>
      </c>
      <c r="U28" s="2">
        <v>0</v>
      </c>
      <c r="V28" s="2" t="s">
        <v>324</v>
      </c>
      <c r="W28" s="2" t="s">
        <v>325</v>
      </c>
      <c r="X28" s="2" t="s">
        <v>86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1</v>
      </c>
      <c r="AF28" s="2">
        <v>0</v>
      </c>
      <c r="AG28" s="2">
        <v>1</v>
      </c>
      <c r="AH28" s="2">
        <v>0</v>
      </c>
      <c r="AI28" s="2">
        <v>1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/>
      <c r="AS28" s="2"/>
      <c r="AT28" s="2"/>
      <c r="AU28" s="2"/>
      <c r="AV28" s="2"/>
      <c r="AW28" s="2"/>
      <c r="AX28" s="2">
        <v>0</v>
      </c>
      <c r="AY28" s="2"/>
      <c r="AZ28" s="2"/>
      <c r="BA28" s="2"/>
      <c r="BB28" s="2"/>
      <c r="BC28" s="2"/>
      <c r="BD28" s="2"/>
      <c r="BE28" s="2"/>
      <c r="BF28" s="2"/>
      <c r="BG28" s="2">
        <v>0</v>
      </c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>
        <v>1</v>
      </c>
      <c r="BV28" s="2">
        <v>0</v>
      </c>
      <c r="BW28" s="2">
        <v>0</v>
      </c>
      <c r="BX28" s="2">
        <v>0</v>
      </c>
      <c r="BY28" s="2">
        <v>0</v>
      </c>
      <c r="BZ28" s="2">
        <v>1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</row>
    <row r="29" ht="46" customHeight="1" spans="1:102">
      <c r="A29" s="2" t="s">
        <v>345</v>
      </c>
      <c r="B29" s="2">
        <v>29</v>
      </c>
      <c r="C29" s="2" t="s">
        <v>316</v>
      </c>
      <c r="D29" s="2">
        <v>1</v>
      </c>
      <c r="E29" s="2">
        <v>0</v>
      </c>
      <c r="F29" s="2">
        <v>190</v>
      </c>
      <c r="G29" s="2" t="s">
        <v>7</v>
      </c>
      <c r="H29" s="2" t="s">
        <v>24</v>
      </c>
      <c r="I29" s="2" t="s">
        <v>29</v>
      </c>
      <c r="J29" s="2" t="s">
        <v>35</v>
      </c>
      <c r="K29" s="2" t="s">
        <v>46</v>
      </c>
      <c r="L29" s="2">
        <v>0</v>
      </c>
      <c r="M29" s="2" t="s">
        <v>45</v>
      </c>
      <c r="N29" s="2" t="s">
        <v>85</v>
      </c>
      <c r="O29" s="2">
        <v>0</v>
      </c>
      <c r="P29" s="2" t="s">
        <v>346</v>
      </c>
      <c r="Q29" s="2">
        <v>1</v>
      </c>
      <c r="R29" s="2">
        <v>0</v>
      </c>
      <c r="S29" s="2">
        <v>1</v>
      </c>
      <c r="T29" s="2">
        <v>0</v>
      </c>
      <c r="U29" s="2">
        <v>0</v>
      </c>
      <c r="V29" s="2" t="s">
        <v>293</v>
      </c>
      <c r="W29" s="2" t="s">
        <v>299</v>
      </c>
      <c r="X29" s="2" t="s">
        <v>85</v>
      </c>
      <c r="Y29" s="2">
        <v>0</v>
      </c>
      <c r="Z29" s="2"/>
      <c r="AA29" s="2"/>
      <c r="AB29" s="2"/>
      <c r="AC29" s="2"/>
      <c r="AD29" s="2"/>
      <c r="AE29" s="2"/>
      <c r="AF29" s="2"/>
      <c r="AG29" s="2">
        <v>0</v>
      </c>
      <c r="AH29" s="2"/>
      <c r="AI29" s="2"/>
      <c r="AJ29" s="2"/>
      <c r="AK29" s="2"/>
      <c r="AL29" s="2"/>
      <c r="AM29" s="2"/>
      <c r="AN29" s="2"/>
      <c r="AO29" s="2"/>
      <c r="AP29" s="2"/>
      <c r="AQ29" s="2">
        <v>0</v>
      </c>
      <c r="AR29" s="2"/>
      <c r="AS29" s="2"/>
      <c r="AT29" s="2"/>
      <c r="AU29" s="2"/>
      <c r="AV29" s="2"/>
      <c r="AW29" s="2"/>
      <c r="AX29" s="2">
        <v>0</v>
      </c>
      <c r="AY29" s="2"/>
      <c r="AZ29" s="2"/>
      <c r="BA29" s="2"/>
      <c r="BB29" s="2"/>
      <c r="BC29" s="2"/>
      <c r="BD29" s="2"/>
      <c r="BE29" s="2"/>
      <c r="BF29" s="2"/>
      <c r="BG29" s="2">
        <v>0</v>
      </c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>
        <v>1</v>
      </c>
      <c r="BV29" s="2">
        <v>1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</v>
      </c>
      <c r="CE29" s="2">
        <v>0</v>
      </c>
      <c r="CF29" s="2">
        <v>1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1</v>
      </c>
      <c r="CP29" s="2">
        <v>0</v>
      </c>
      <c r="CQ29" s="2"/>
      <c r="CR29" s="2"/>
      <c r="CS29" s="2"/>
      <c r="CT29" s="2"/>
      <c r="CU29" s="2"/>
      <c r="CV29" s="2"/>
      <c r="CW29" s="2"/>
      <c r="CX29" s="2"/>
    </row>
    <row r="30" ht="46" customHeight="1" spans="1:102">
      <c r="A30" s="2" t="s">
        <v>347</v>
      </c>
      <c r="B30" s="2">
        <v>30</v>
      </c>
      <c r="C30" s="2" t="s">
        <v>286</v>
      </c>
      <c r="D30" s="2">
        <v>1</v>
      </c>
      <c r="E30" s="2">
        <v>1</v>
      </c>
      <c r="F30" s="2">
        <v>286</v>
      </c>
      <c r="G30" s="2" t="s">
        <v>9</v>
      </c>
      <c r="H30" s="2" t="s">
        <v>24</v>
      </c>
      <c r="I30" s="2" t="s">
        <v>28</v>
      </c>
      <c r="J30" s="2" t="s">
        <v>35</v>
      </c>
      <c r="K30" s="2" t="s">
        <v>48</v>
      </c>
      <c r="L30" s="2">
        <v>1</v>
      </c>
      <c r="M30" s="2" t="s">
        <v>43</v>
      </c>
      <c r="N30" s="2" t="s">
        <v>85</v>
      </c>
      <c r="O30" s="2">
        <v>1</v>
      </c>
      <c r="P30" s="2" t="s">
        <v>329</v>
      </c>
      <c r="Q30" s="2">
        <v>0</v>
      </c>
      <c r="R30" s="2">
        <v>0</v>
      </c>
      <c r="S30" s="2">
        <v>1</v>
      </c>
      <c r="T30" s="2">
        <v>0</v>
      </c>
      <c r="U30" s="2">
        <v>0</v>
      </c>
      <c r="V30" s="2" t="s">
        <v>324</v>
      </c>
      <c r="W30" s="2" t="s">
        <v>325</v>
      </c>
      <c r="X30" s="2" t="s">
        <v>85</v>
      </c>
      <c r="Y30" s="2">
        <v>1</v>
      </c>
      <c r="Z30" s="2">
        <v>1</v>
      </c>
      <c r="AA30" s="2">
        <v>0</v>
      </c>
      <c r="AB30" s="2">
        <v>0</v>
      </c>
      <c r="AC30" s="2">
        <v>1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0</v>
      </c>
      <c r="AK30" s="2">
        <v>1</v>
      </c>
      <c r="AL30" s="2">
        <v>0</v>
      </c>
      <c r="AM30" s="2">
        <v>0</v>
      </c>
      <c r="AN30" s="2">
        <v>1</v>
      </c>
      <c r="AO30" s="2">
        <v>0</v>
      </c>
      <c r="AP30" s="2">
        <v>0</v>
      </c>
      <c r="AQ30" s="2">
        <v>0</v>
      </c>
      <c r="AR30" s="2"/>
      <c r="AS30" s="2"/>
      <c r="AT30" s="2"/>
      <c r="AU30" s="2"/>
      <c r="AV30" s="2"/>
      <c r="AW30" s="2"/>
      <c r="AX30" s="2">
        <v>0</v>
      </c>
      <c r="AY30" s="2"/>
      <c r="AZ30" s="2"/>
      <c r="BA30" s="2"/>
      <c r="BB30" s="2"/>
      <c r="BC30" s="2"/>
      <c r="BD30" s="2"/>
      <c r="BE30" s="2"/>
      <c r="BF30" s="2"/>
      <c r="BG30" s="2">
        <v>0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>
        <v>1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1</v>
      </c>
      <c r="CE30" s="2">
        <v>0</v>
      </c>
      <c r="CF30" s="2">
        <v>1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1</v>
      </c>
      <c r="CP30" s="2">
        <v>0</v>
      </c>
      <c r="CQ30" s="2"/>
      <c r="CR30" s="2"/>
      <c r="CS30" s="2"/>
      <c r="CT30" s="2"/>
      <c r="CU30" s="2"/>
      <c r="CV30" s="2"/>
      <c r="CW30" s="2"/>
      <c r="CX30" s="2"/>
    </row>
    <row r="31" ht="46" customHeight="1" spans="1:102">
      <c r="A31" s="2" t="s">
        <v>348</v>
      </c>
      <c r="B31" s="2">
        <v>31</v>
      </c>
      <c r="C31" s="2" t="s">
        <v>316</v>
      </c>
      <c r="D31" s="2">
        <v>1</v>
      </c>
      <c r="E31" s="2">
        <v>0</v>
      </c>
      <c r="F31" s="2">
        <v>240</v>
      </c>
      <c r="G31" s="2" t="s">
        <v>11</v>
      </c>
      <c r="H31" s="2" t="s">
        <v>24</v>
      </c>
      <c r="I31" s="2" t="s">
        <v>28</v>
      </c>
      <c r="J31" s="2" t="s">
        <v>34</v>
      </c>
      <c r="K31" s="2" t="s">
        <v>46</v>
      </c>
      <c r="L31" s="2">
        <v>0</v>
      </c>
      <c r="M31" s="2" t="s">
        <v>45</v>
      </c>
      <c r="N31" s="2" t="s">
        <v>85</v>
      </c>
      <c r="O31" s="2">
        <v>0</v>
      </c>
      <c r="P31" s="2" t="s">
        <v>349</v>
      </c>
      <c r="Q31" s="2">
        <v>1</v>
      </c>
      <c r="R31" s="2">
        <v>0</v>
      </c>
      <c r="S31" s="2">
        <v>1</v>
      </c>
      <c r="T31" s="2">
        <v>1</v>
      </c>
      <c r="U31" s="2">
        <v>0</v>
      </c>
      <c r="V31" s="2" t="s">
        <v>289</v>
      </c>
      <c r="W31" s="2" t="s">
        <v>299</v>
      </c>
      <c r="X31" s="2" t="s">
        <v>85</v>
      </c>
      <c r="Y31" s="2">
        <v>0</v>
      </c>
      <c r="Z31" s="2"/>
      <c r="AA31" s="2"/>
      <c r="AB31" s="2"/>
      <c r="AC31" s="2"/>
      <c r="AD31" s="2"/>
      <c r="AE31" s="2"/>
      <c r="AF31" s="2"/>
      <c r="AG31" s="2">
        <v>0</v>
      </c>
      <c r="AH31" s="2"/>
      <c r="AI31" s="2"/>
      <c r="AJ31" s="2"/>
      <c r="AK31" s="2"/>
      <c r="AL31" s="2"/>
      <c r="AM31" s="2"/>
      <c r="AN31" s="2"/>
      <c r="AO31" s="2"/>
      <c r="AP31" s="2"/>
      <c r="AQ31" s="2">
        <v>0</v>
      </c>
      <c r="AR31" s="2"/>
      <c r="AS31" s="2"/>
      <c r="AT31" s="2"/>
      <c r="AU31" s="2"/>
      <c r="AV31" s="2"/>
      <c r="AW31" s="2"/>
      <c r="AX31" s="2">
        <v>0</v>
      </c>
      <c r="AY31" s="2"/>
      <c r="AZ31" s="2"/>
      <c r="BA31" s="2"/>
      <c r="BB31" s="2"/>
      <c r="BC31" s="2"/>
      <c r="BD31" s="2"/>
      <c r="BE31" s="2"/>
      <c r="BF31" s="2"/>
      <c r="BG31" s="2">
        <v>0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>
        <v>1</v>
      </c>
      <c r="BV31" s="2">
        <v>0</v>
      </c>
      <c r="BW31" s="2">
        <v>0</v>
      </c>
      <c r="BX31" s="2">
        <v>0</v>
      </c>
      <c r="BY31" s="2">
        <v>0</v>
      </c>
      <c r="BZ31" s="2">
        <v>1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</row>
    <row r="32" ht="46" customHeight="1" spans="1:102">
      <c r="A32" s="2" t="s">
        <v>350</v>
      </c>
      <c r="B32" s="2">
        <v>32</v>
      </c>
      <c r="C32" s="2" t="s">
        <v>316</v>
      </c>
      <c r="D32" s="2">
        <v>1</v>
      </c>
      <c r="E32" s="2">
        <v>0</v>
      </c>
      <c r="F32" s="2">
        <v>201</v>
      </c>
      <c r="G32" s="2" t="s">
        <v>7</v>
      </c>
      <c r="H32" s="2" t="s">
        <v>24</v>
      </c>
      <c r="I32" s="2" t="s">
        <v>29</v>
      </c>
      <c r="J32" s="2" t="s">
        <v>37</v>
      </c>
      <c r="K32" s="2" t="s">
        <v>46</v>
      </c>
      <c r="L32" s="2">
        <v>0</v>
      </c>
      <c r="M32" s="2" t="s">
        <v>45</v>
      </c>
      <c r="N32" s="2" t="s">
        <v>85</v>
      </c>
      <c r="O32" s="2">
        <v>0</v>
      </c>
      <c r="P32" s="2" t="s">
        <v>351</v>
      </c>
      <c r="Q32" s="2">
        <v>1</v>
      </c>
      <c r="R32" s="2">
        <v>0</v>
      </c>
      <c r="S32" s="2">
        <v>1</v>
      </c>
      <c r="T32" s="2">
        <v>1</v>
      </c>
      <c r="U32" s="2">
        <v>0</v>
      </c>
      <c r="V32" s="2" t="s">
        <v>293</v>
      </c>
      <c r="W32" s="2" t="s">
        <v>299</v>
      </c>
      <c r="X32" s="2" t="s">
        <v>85</v>
      </c>
      <c r="Y32" s="2">
        <v>0</v>
      </c>
      <c r="Z32" s="2"/>
      <c r="AA32" s="2"/>
      <c r="AB32" s="2"/>
      <c r="AC32" s="2"/>
      <c r="AD32" s="2"/>
      <c r="AE32" s="2"/>
      <c r="AF32" s="2"/>
      <c r="AG32" s="2">
        <v>0</v>
      </c>
      <c r="AH32" s="2"/>
      <c r="AI32" s="2"/>
      <c r="AJ32" s="2"/>
      <c r="AK32" s="2"/>
      <c r="AL32" s="2"/>
      <c r="AM32" s="2"/>
      <c r="AN32" s="2"/>
      <c r="AO32" s="2"/>
      <c r="AP32" s="2"/>
      <c r="AQ32" s="2">
        <v>0</v>
      </c>
      <c r="AR32" s="2"/>
      <c r="AS32" s="2"/>
      <c r="AT32" s="2"/>
      <c r="AU32" s="2"/>
      <c r="AV32" s="2"/>
      <c r="AW32" s="2"/>
      <c r="AX32" s="2">
        <v>0</v>
      </c>
      <c r="AY32" s="2"/>
      <c r="AZ32" s="2"/>
      <c r="BA32" s="2"/>
      <c r="BB32" s="2"/>
      <c r="BC32" s="2"/>
      <c r="BD32" s="2"/>
      <c r="BE32" s="2"/>
      <c r="BF32" s="2"/>
      <c r="BG32" s="2">
        <v>0</v>
      </c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>
        <v>1</v>
      </c>
      <c r="BV32" s="2">
        <v>0</v>
      </c>
      <c r="BW32" s="2">
        <v>0</v>
      </c>
      <c r="BX32" s="2">
        <v>1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</row>
    <row r="33" ht="46" customHeight="1" spans="1:102">
      <c r="A33" s="2" t="s">
        <v>352</v>
      </c>
      <c r="B33" s="2">
        <v>33</v>
      </c>
      <c r="C33" s="2" t="s">
        <v>316</v>
      </c>
      <c r="D33" s="2">
        <v>1</v>
      </c>
      <c r="E33" s="2">
        <v>0</v>
      </c>
      <c r="F33" s="2">
        <v>132</v>
      </c>
      <c r="G33" s="2" t="s">
        <v>7</v>
      </c>
      <c r="H33" s="2" t="s">
        <v>24</v>
      </c>
      <c r="I33" s="2" t="s">
        <v>14</v>
      </c>
      <c r="J33" s="2" t="s">
        <v>35</v>
      </c>
      <c r="K33" s="2" t="s">
        <v>46</v>
      </c>
      <c r="L33" s="2">
        <v>0</v>
      </c>
      <c r="M33" s="2" t="s">
        <v>47</v>
      </c>
      <c r="N33" s="2" t="s">
        <v>85</v>
      </c>
      <c r="O33" s="2">
        <v>0</v>
      </c>
      <c r="P33" s="2" t="s">
        <v>346</v>
      </c>
      <c r="Q33" s="2">
        <v>1</v>
      </c>
      <c r="R33" s="2">
        <v>0</v>
      </c>
      <c r="S33" s="2">
        <v>1</v>
      </c>
      <c r="T33" s="2">
        <v>0</v>
      </c>
      <c r="U33" s="2">
        <v>0</v>
      </c>
      <c r="V33" s="2" t="s">
        <v>293</v>
      </c>
      <c r="W33" s="2" t="s">
        <v>299</v>
      </c>
      <c r="X33" s="2" t="s">
        <v>85</v>
      </c>
      <c r="Y33" s="2">
        <v>0</v>
      </c>
      <c r="Z33" s="2"/>
      <c r="AA33" s="2"/>
      <c r="AB33" s="2"/>
      <c r="AC33" s="2"/>
      <c r="AD33" s="2"/>
      <c r="AE33" s="2"/>
      <c r="AF33" s="2"/>
      <c r="AG33" s="2">
        <v>0</v>
      </c>
      <c r="AH33" s="2"/>
      <c r="AI33" s="2"/>
      <c r="AJ33" s="2"/>
      <c r="AK33" s="2"/>
      <c r="AL33" s="2"/>
      <c r="AM33" s="2"/>
      <c r="AN33" s="2"/>
      <c r="AO33" s="2"/>
      <c r="AP33" s="2"/>
      <c r="AQ33" s="2">
        <v>0</v>
      </c>
      <c r="AR33" s="2"/>
      <c r="AS33" s="2"/>
      <c r="AT33" s="2"/>
      <c r="AU33" s="2"/>
      <c r="AV33" s="2"/>
      <c r="AW33" s="2"/>
      <c r="AX33" s="2">
        <v>0</v>
      </c>
      <c r="AY33" s="2"/>
      <c r="AZ33" s="2"/>
      <c r="BA33" s="2"/>
      <c r="BB33" s="2"/>
      <c r="BC33" s="2"/>
      <c r="BD33" s="2"/>
      <c r="BE33" s="2"/>
      <c r="BF33" s="2"/>
      <c r="BG33" s="2">
        <v>0</v>
      </c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>
        <v>1</v>
      </c>
      <c r="BV33" s="2">
        <v>0</v>
      </c>
      <c r="BW33" s="2">
        <v>0</v>
      </c>
      <c r="BX33" s="2">
        <v>1</v>
      </c>
      <c r="BY33" s="2">
        <v>0</v>
      </c>
      <c r="BZ33" s="2">
        <v>0</v>
      </c>
      <c r="CA33" s="2">
        <v>0</v>
      </c>
      <c r="CB33" s="2">
        <v>0</v>
      </c>
      <c r="CC33" s="2">
        <v>1</v>
      </c>
      <c r="CD33" s="2">
        <v>0</v>
      </c>
      <c r="CE33" s="2">
        <v>0</v>
      </c>
      <c r="CF33" s="2">
        <v>1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1</v>
      </c>
      <c r="CP33" s="2">
        <v>0</v>
      </c>
      <c r="CQ33" s="2"/>
      <c r="CR33" s="2"/>
      <c r="CS33" s="2"/>
      <c r="CT33" s="2"/>
      <c r="CU33" s="2"/>
      <c r="CV33" s="2"/>
      <c r="CW33" s="2"/>
      <c r="CX33" s="2"/>
    </row>
    <row r="34" ht="46" customHeight="1" spans="1:102">
      <c r="A34" s="2" t="s">
        <v>353</v>
      </c>
      <c r="B34" s="2">
        <v>34</v>
      </c>
      <c r="C34" s="2" t="s">
        <v>316</v>
      </c>
      <c r="D34" s="2">
        <v>1</v>
      </c>
      <c r="E34" s="2">
        <v>0</v>
      </c>
      <c r="F34" s="2">
        <v>222</v>
      </c>
      <c r="G34" s="2" t="s">
        <v>11</v>
      </c>
      <c r="H34" s="2" t="s">
        <v>23</v>
      </c>
      <c r="I34" s="2" t="s">
        <v>27</v>
      </c>
      <c r="J34" s="2" t="s">
        <v>35</v>
      </c>
      <c r="K34" s="2" t="s">
        <v>46</v>
      </c>
      <c r="L34" s="2">
        <v>0</v>
      </c>
      <c r="M34" s="2" t="s">
        <v>43</v>
      </c>
      <c r="N34" s="2" t="s">
        <v>287</v>
      </c>
      <c r="O34" s="2">
        <v>0</v>
      </c>
      <c r="P34" s="2" t="s">
        <v>354</v>
      </c>
      <c r="Q34" s="2">
        <v>1</v>
      </c>
      <c r="R34" s="2">
        <v>0</v>
      </c>
      <c r="S34" s="2">
        <v>1</v>
      </c>
      <c r="T34" s="2">
        <v>0</v>
      </c>
      <c r="U34" s="2">
        <v>1</v>
      </c>
      <c r="V34" s="2" t="s">
        <v>289</v>
      </c>
      <c r="W34" s="2" t="s">
        <v>294</v>
      </c>
      <c r="X34" s="2" t="s">
        <v>83</v>
      </c>
      <c r="Y34" s="2">
        <v>0</v>
      </c>
      <c r="Z34" s="2"/>
      <c r="AA34" s="2"/>
      <c r="AB34" s="2"/>
      <c r="AC34" s="2"/>
      <c r="AD34" s="2"/>
      <c r="AE34" s="2"/>
      <c r="AF34" s="2"/>
      <c r="AG34" s="2">
        <v>0</v>
      </c>
      <c r="AH34" s="2"/>
      <c r="AI34" s="2"/>
      <c r="AJ34" s="2"/>
      <c r="AK34" s="2"/>
      <c r="AL34" s="2"/>
      <c r="AM34" s="2"/>
      <c r="AN34" s="2"/>
      <c r="AO34" s="2"/>
      <c r="AP34" s="2"/>
      <c r="AQ34" s="2">
        <v>1</v>
      </c>
      <c r="AR34" s="2">
        <v>0</v>
      </c>
      <c r="AS34" s="2">
        <v>1</v>
      </c>
      <c r="AT34" s="2">
        <v>0</v>
      </c>
      <c r="AU34" s="2">
        <v>0</v>
      </c>
      <c r="AV34" s="2">
        <v>1</v>
      </c>
      <c r="AW34" s="2">
        <v>0</v>
      </c>
      <c r="AX34" s="2">
        <v>1</v>
      </c>
      <c r="AY34" s="2">
        <v>1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>
        <v>1</v>
      </c>
      <c r="BV34" s="2">
        <v>1</v>
      </c>
      <c r="BW34" s="2">
        <v>0</v>
      </c>
      <c r="BX34" s="2">
        <v>1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1</v>
      </c>
      <c r="CG34" s="2">
        <v>0</v>
      </c>
      <c r="CH34" s="2">
        <v>1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/>
      <c r="CR34" s="2"/>
      <c r="CS34" s="2"/>
      <c r="CT34" s="2"/>
      <c r="CU34" s="2"/>
      <c r="CV34" s="2"/>
      <c r="CW34" s="2"/>
      <c r="CX34" s="2"/>
    </row>
    <row r="35" ht="46" customHeight="1" spans="1:102">
      <c r="A35" s="2" t="s">
        <v>355</v>
      </c>
      <c r="B35" s="2">
        <v>35</v>
      </c>
      <c r="C35" s="2" t="s">
        <v>316</v>
      </c>
      <c r="D35" s="2">
        <v>1</v>
      </c>
      <c r="E35" s="2">
        <v>0</v>
      </c>
      <c r="F35" s="2">
        <v>121</v>
      </c>
      <c r="G35" s="2" t="s">
        <v>9</v>
      </c>
      <c r="H35" s="2" t="s">
        <v>23</v>
      </c>
      <c r="I35" s="2" t="s">
        <v>29</v>
      </c>
      <c r="J35" s="2" t="s">
        <v>37</v>
      </c>
      <c r="K35" s="2" t="s">
        <v>50</v>
      </c>
      <c r="L35" s="2">
        <v>1</v>
      </c>
      <c r="M35" s="2" t="s">
        <v>45</v>
      </c>
      <c r="N35" s="2" t="s">
        <v>85</v>
      </c>
      <c r="O35" s="2">
        <v>0</v>
      </c>
      <c r="P35" s="2" t="s">
        <v>346</v>
      </c>
      <c r="Q35" s="2">
        <v>1</v>
      </c>
      <c r="R35" s="2">
        <v>0</v>
      </c>
      <c r="S35" s="2">
        <v>1</v>
      </c>
      <c r="T35" s="2">
        <v>0</v>
      </c>
      <c r="U35" s="2">
        <v>0</v>
      </c>
      <c r="V35" s="2" t="s">
        <v>293</v>
      </c>
      <c r="W35" s="2" t="s">
        <v>299</v>
      </c>
      <c r="X35" s="2" t="s">
        <v>85</v>
      </c>
      <c r="Y35" s="2">
        <v>1</v>
      </c>
      <c r="Z35" s="2">
        <v>0</v>
      </c>
      <c r="AA35" s="2">
        <v>0</v>
      </c>
      <c r="AB35" s="2">
        <v>0</v>
      </c>
      <c r="AC35" s="2">
        <v>0</v>
      </c>
      <c r="AD35" s="2">
        <v>1</v>
      </c>
      <c r="AE35" s="2">
        <v>0</v>
      </c>
      <c r="AF35" s="2">
        <v>0</v>
      </c>
      <c r="AG35" s="2">
        <v>1</v>
      </c>
      <c r="AH35" s="2">
        <v>0</v>
      </c>
      <c r="AI35" s="2">
        <v>1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1</v>
      </c>
      <c r="AQ35" s="2">
        <v>0</v>
      </c>
      <c r="AR35" s="2"/>
      <c r="AS35" s="2"/>
      <c r="AT35" s="2"/>
      <c r="AU35" s="2"/>
      <c r="AV35" s="2"/>
      <c r="AW35" s="2"/>
      <c r="AX35" s="2">
        <v>0</v>
      </c>
      <c r="AY35" s="2"/>
      <c r="AZ35" s="2"/>
      <c r="BA35" s="2"/>
      <c r="BB35" s="2"/>
      <c r="BC35" s="2"/>
      <c r="BD35" s="2"/>
      <c r="BE35" s="2"/>
      <c r="BF35" s="2"/>
      <c r="BG35" s="2">
        <v>0</v>
      </c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>
        <v>1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1</v>
      </c>
      <c r="CF35" s="2">
        <v>1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1</v>
      </c>
      <c r="CN35" s="2">
        <v>0</v>
      </c>
      <c r="CO35" s="2">
        <v>0</v>
      </c>
      <c r="CP35" s="2">
        <v>0</v>
      </c>
      <c r="CQ35" s="2"/>
      <c r="CR35" s="2"/>
      <c r="CS35" s="2"/>
      <c r="CT35" s="2"/>
      <c r="CU35" s="2"/>
      <c r="CV35" s="2"/>
      <c r="CW35" s="2"/>
      <c r="CX35" s="2"/>
    </row>
    <row r="36" ht="46" customHeight="1" spans="1:102">
      <c r="A36" s="2" t="s">
        <v>356</v>
      </c>
      <c r="B36" s="2">
        <v>36</v>
      </c>
      <c r="C36" s="2" t="s">
        <v>286</v>
      </c>
      <c r="D36" s="2">
        <v>1</v>
      </c>
      <c r="E36" s="2">
        <v>1</v>
      </c>
      <c r="F36" s="2">
        <v>174</v>
      </c>
      <c r="G36" s="2" t="s">
        <v>14</v>
      </c>
      <c r="H36" s="2" t="s">
        <v>24</v>
      </c>
      <c r="I36" s="2" t="s">
        <v>29</v>
      </c>
      <c r="J36" s="2" t="s">
        <v>35</v>
      </c>
      <c r="K36" s="2" t="s">
        <v>46</v>
      </c>
      <c r="L36" s="2">
        <v>0</v>
      </c>
      <c r="M36" s="2" t="s">
        <v>47</v>
      </c>
      <c r="N36" s="2" t="s">
        <v>86</v>
      </c>
      <c r="O36" s="2">
        <v>0</v>
      </c>
      <c r="P36" s="2" t="s">
        <v>357</v>
      </c>
      <c r="Q36" s="2">
        <v>0</v>
      </c>
      <c r="R36" s="2">
        <v>0</v>
      </c>
      <c r="S36" s="2">
        <v>1</v>
      </c>
      <c r="T36" s="2">
        <v>0</v>
      </c>
      <c r="U36" s="2">
        <v>0</v>
      </c>
      <c r="V36" s="2" t="s">
        <v>324</v>
      </c>
      <c r="W36" s="2" t="s">
        <v>325</v>
      </c>
      <c r="X36" s="2" t="s">
        <v>86</v>
      </c>
      <c r="Y36" s="2">
        <v>0</v>
      </c>
      <c r="Z36" s="2"/>
      <c r="AA36" s="2"/>
      <c r="AB36" s="2"/>
      <c r="AC36" s="2"/>
      <c r="AD36" s="2"/>
      <c r="AE36" s="2"/>
      <c r="AF36" s="2"/>
      <c r="AG36" s="2">
        <v>0</v>
      </c>
      <c r="AH36" s="2"/>
      <c r="AI36" s="2"/>
      <c r="AJ36" s="2"/>
      <c r="AK36" s="2"/>
      <c r="AL36" s="2"/>
      <c r="AM36" s="2"/>
      <c r="AN36" s="2"/>
      <c r="AO36" s="2"/>
      <c r="AP36" s="2"/>
      <c r="AQ36" s="2">
        <v>0</v>
      </c>
      <c r="AR36" s="2"/>
      <c r="AS36" s="2"/>
      <c r="AT36" s="2"/>
      <c r="AU36" s="2"/>
      <c r="AV36" s="2"/>
      <c r="AW36" s="2"/>
      <c r="AX36" s="2">
        <v>0</v>
      </c>
      <c r="AY36" s="2"/>
      <c r="AZ36" s="2"/>
      <c r="BA36" s="2"/>
      <c r="BB36" s="2"/>
      <c r="BC36" s="2"/>
      <c r="BD36" s="2"/>
      <c r="BE36" s="2"/>
      <c r="BF36" s="2"/>
      <c r="BG36" s="2">
        <v>0</v>
      </c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>
        <v>1</v>
      </c>
      <c r="BV36" s="2">
        <v>0</v>
      </c>
      <c r="BW36" s="2">
        <v>0</v>
      </c>
      <c r="BX36" s="2">
        <v>1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1</v>
      </c>
      <c r="CE36" s="2">
        <v>0</v>
      </c>
      <c r="CF36" s="2">
        <v>1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1</v>
      </c>
      <c r="CO36" s="2">
        <v>0</v>
      </c>
      <c r="CP36" s="2">
        <v>0</v>
      </c>
      <c r="CQ36" s="2"/>
      <c r="CR36" s="2"/>
      <c r="CS36" s="2"/>
      <c r="CT36" s="2"/>
      <c r="CU36" s="2"/>
      <c r="CV36" s="2"/>
      <c r="CW36" s="2"/>
      <c r="CX36" s="2"/>
    </row>
    <row r="37" ht="46" customHeight="1" spans="1:102">
      <c r="A37" s="2" t="s">
        <v>358</v>
      </c>
      <c r="B37" s="2">
        <v>37</v>
      </c>
      <c r="C37" s="2" t="s">
        <v>286</v>
      </c>
      <c r="D37" s="2">
        <v>1</v>
      </c>
      <c r="E37" s="2">
        <v>1</v>
      </c>
      <c r="F37" s="2">
        <v>560</v>
      </c>
      <c r="G37" s="2" t="s">
        <v>9</v>
      </c>
      <c r="H37" s="2" t="s">
        <v>23</v>
      </c>
      <c r="I37" s="2" t="s">
        <v>28</v>
      </c>
      <c r="J37" s="2" t="s">
        <v>37</v>
      </c>
      <c r="K37" s="2" t="s">
        <v>48</v>
      </c>
      <c r="L37" s="2">
        <v>1</v>
      </c>
      <c r="M37" s="2" t="s">
        <v>45</v>
      </c>
      <c r="N37" s="2" t="s">
        <v>287</v>
      </c>
      <c r="O37" s="2">
        <v>0</v>
      </c>
      <c r="P37" s="2" t="s">
        <v>301</v>
      </c>
      <c r="Q37" s="2">
        <v>0</v>
      </c>
      <c r="R37" s="2">
        <v>0</v>
      </c>
      <c r="S37" s="2">
        <v>0</v>
      </c>
      <c r="T37" s="2">
        <v>1</v>
      </c>
      <c r="U37" s="2">
        <v>0</v>
      </c>
      <c r="V37" s="2" t="s">
        <v>293</v>
      </c>
      <c r="W37" s="2" t="s">
        <v>294</v>
      </c>
      <c r="X37" s="2" t="s">
        <v>84</v>
      </c>
      <c r="Y37" s="2">
        <v>1</v>
      </c>
      <c r="Z37" s="2">
        <v>1</v>
      </c>
      <c r="AA37" s="2">
        <v>0</v>
      </c>
      <c r="AB37" s="2">
        <v>0</v>
      </c>
      <c r="AC37" s="2">
        <v>0</v>
      </c>
      <c r="AD37" s="2">
        <v>1</v>
      </c>
      <c r="AE37" s="2">
        <v>1</v>
      </c>
      <c r="AF37" s="2">
        <v>0</v>
      </c>
      <c r="AG37" s="2">
        <v>1</v>
      </c>
      <c r="AH37" s="2">
        <v>1</v>
      </c>
      <c r="AI37" s="2">
        <v>1</v>
      </c>
      <c r="AJ37" s="2">
        <v>0</v>
      </c>
      <c r="AK37" s="2">
        <v>1</v>
      </c>
      <c r="AL37" s="2">
        <v>0</v>
      </c>
      <c r="AM37" s="2">
        <v>0</v>
      </c>
      <c r="AN37" s="2">
        <v>1</v>
      </c>
      <c r="AO37" s="2">
        <v>0</v>
      </c>
      <c r="AP37" s="2">
        <v>1</v>
      </c>
      <c r="AQ37" s="2">
        <v>0</v>
      </c>
      <c r="AR37" s="2"/>
      <c r="AS37" s="2"/>
      <c r="AT37" s="2"/>
      <c r="AU37" s="2"/>
      <c r="AV37" s="2"/>
      <c r="AW37" s="2"/>
      <c r="AX37" s="2">
        <v>1</v>
      </c>
      <c r="AY37" s="2">
        <v>1</v>
      </c>
      <c r="AZ37" s="2">
        <v>1</v>
      </c>
      <c r="BA37" s="2">
        <v>0</v>
      </c>
      <c r="BB37" s="2">
        <v>0</v>
      </c>
      <c r="BC37" s="2">
        <v>1</v>
      </c>
      <c r="BD37" s="2">
        <v>0</v>
      </c>
      <c r="BE37" s="2">
        <v>0</v>
      </c>
      <c r="BF37" s="2">
        <v>0</v>
      </c>
      <c r="BG37" s="2">
        <v>1</v>
      </c>
      <c r="BH37" s="2">
        <v>0</v>
      </c>
      <c r="BI37" s="2">
        <v>0</v>
      </c>
      <c r="BJ37" s="2">
        <v>1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1</v>
      </c>
      <c r="BS37" s="2">
        <v>0</v>
      </c>
      <c r="BT37" s="2">
        <v>1</v>
      </c>
      <c r="BU37" s="2">
        <v>1</v>
      </c>
      <c r="BV37" s="2">
        <v>0</v>
      </c>
      <c r="BW37" s="2">
        <v>1</v>
      </c>
      <c r="BX37" s="2">
        <v>0</v>
      </c>
      <c r="BY37" s="2">
        <v>0</v>
      </c>
      <c r="BZ37" s="2">
        <v>0</v>
      </c>
      <c r="CA37" s="2">
        <v>1</v>
      </c>
      <c r="CB37" s="2">
        <v>0</v>
      </c>
      <c r="CC37" s="2">
        <v>1</v>
      </c>
      <c r="CD37" s="2">
        <v>0</v>
      </c>
      <c r="CE37" s="2">
        <v>0</v>
      </c>
      <c r="CF37" s="2">
        <v>0</v>
      </c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>
        <v>5</v>
      </c>
      <c r="CR37" s="2" t="s">
        <v>146</v>
      </c>
      <c r="CS37" s="2">
        <v>2</v>
      </c>
      <c r="CT37" s="2" t="s">
        <v>143</v>
      </c>
      <c r="CU37" s="2">
        <v>4</v>
      </c>
      <c r="CV37" s="2" t="s">
        <v>145</v>
      </c>
      <c r="CW37" s="2">
        <v>5</v>
      </c>
      <c r="CX37" s="2" t="s">
        <v>146</v>
      </c>
    </row>
    <row r="38" ht="46" customHeight="1" spans="1:102">
      <c r="A38" s="2" t="s">
        <v>359</v>
      </c>
      <c r="B38" s="2">
        <v>38</v>
      </c>
      <c r="C38" s="2" t="s">
        <v>286</v>
      </c>
      <c r="D38" s="2">
        <v>1</v>
      </c>
      <c r="E38" s="2">
        <v>1</v>
      </c>
      <c r="F38" s="2">
        <v>243</v>
      </c>
      <c r="G38" s="2" t="s">
        <v>9</v>
      </c>
      <c r="H38" s="2" t="s">
        <v>23</v>
      </c>
      <c r="I38" s="2" t="s">
        <v>28</v>
      </c>
      <c r="J38" s="2" t="s">
        <v>37</v>
      </c>
      <c r="K38" s="2" t="s">
        <v>44</v>
      </c>
      <c r="L38" s="2">
        <v>1</v>
      </c>
      <c r="M38" s="2" t="s">
        <v>45</v>
      </c>
      <c r="N38" s="2" t="s">
        <v>86</v>
      </c>
      <c r="O38" s="2">
        <v>0</v>
      </c>
      <c r="P38" s="2" t="s">
        <v>344</v>
      </c>
      <c r="Q38" s="2">
        <v>0</v>
      </c>
      <c r="R38" s="2">
        <v>0</v>
      </c>
      <c r="S38" s="2">
        <v>1</v>
      </c>
      <c r="T38" s="2">
        <v>1</v>
      </c>
      <c r="U38" s="2">
        <v>0</v>
      </c>
      <c r="V38" s="2" t="s">
        <v>324</v>
      </c>
      <c r="W38" s="2" t="s">
        <v>325</v>
      </c>
      <c r="X38" s="2" t="s">
        <v>86</v>
      </c>
      <c r="Y38" s="2">
        <v>1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0</v>
      </c>
      <c r="AF38" s="2">
        <v>0</v>
      </c>
      <c r="AG38" s="2">
        <v>1</v>
      </c>
      <c r="AH38" s="2">
        <v>0</v>
      </c>
      <c r="AI38" s="2">
        <v>1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1</v>
      </c>
      <c r="AQ38" s="2">
        <v>0</v>
      </c>
      <c r="AR38" s="2"/>
      <c r="AS38" s="2"/>
      <c r="AT38" s="2"/>
      <c r="AU38" s="2"/>
      <c r="AV38" s="2"/>
      <c r="AW38" s="2"/>
      <c r="AX38" s="2">
        <v>0</v>
      </c>
      <c r="AY38" s="2"/>
      <c r="AZ38" s="2"/>
      <c r="BA38" s="2"/>
      <c r="BB38" s="2"/>
      <c r="BC38" s="2"/>
      <c r="BD38" s="2"/>
      <c r="BE38" s="2"/>
      <c r="BF38" s="2"/>
      <c r="BG38" s="2">
        <v>0</v>
      </c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>
        <v>1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1</v>
      </c>
      <c r="CD38" s="2">
        <v>0</v>
      </c>
      <c r="CE38" s="2">
        <v>0</v>
      </c>
      <c r="CF38" s="2">
        <v>0</v>
      </c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</row>
    <row r="39" ht="46" customHeight="1" spans="1:102">
      <c r="A39" s="2" t="s">
        <v>360</v>
      </c>
      <c r="B39" s="2">
        <v>39</v>
      </c>
      <c r="C39" s="2" t="s">
        <v>286</v>
      </c>
      <c r="D39" s="2">
        <v>1</v>
      </c>
      <c r="E39" s="2">
        <v>1</v>
      </c>
      <c r="F39" s="2">
        <v>290</v>
      </c>
      <c r="G39" s="2" t="s">
        <v>7</v>
      </c>
      <c r="H39" s="2" t="s">
        <v>23</v>
      </c>
      <c r="I39" s="2" t="s">
        <v>30</v>
      </c>
      <c r="J39" s="2" t="s">
        <v>37</v>
      </c>
      <c r="K39" s="2" t="s">
        <v>42</v>
      </c>
      <c r="L39" s="2">
        <v>1</v>
      </c>
      <c r="M39" s="2" t="s">
        <v>43</v>
      </c>
      <c r="N39" s="2" t="s">
        <v>86</v>
      </c>
      <c r="O39" s="2">
        <v>0</v>
      </c>
      <c r="P39" s="2" t="s">
        <v>361</v>
      </c>
      <c r="Q39" s="2">
        <v>0</v>
      </c>
      <c r="R39" s="2">
        <v>0</v>
      </c>
      <c r="S39" s="2">
        <v>1</v>
      </c>
      <c r="T39" s="2">
        <v>1</v>
      </c>
      <c r="U39" s="2">
        <v>0</v>
      </c>
      <c r="V39" s="2" t="s">
        <v>324</v>
      </c>
      <c r="W39" s="2" t="s">
        <v>325</v>
      </c>
      <c r="X39" s="2" t="s">
        <v>86</v>
      </c>
      <c r="Y39" s="2">
        <v>0</v>
      </c>
      <c r="Z39" s="2"/>
      <c r="AA39" s="2"/>
      <c r="AB39" s="2"/>
      <c r="AC39" s="2"/>
      <c r="AD39" s="2"/>
      <c r="AE39" s="2"/>
      <c r="AF39" s="2"/>
      <c r="AG39" s="2">
        <v>1</v>
      </c>
      <c r="AH39" s="2">
        <v>0</v>
      </c>
      <c r="AI39" s="2">
        <v>1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0</v>
      </c>
      <c r="AS39" s="2">
        <v>0</v>
      </c>
      <c r="AT39" s="2">
        <v>0</v>
      </c>
      <c r="AU39" s="2">
        <v>0</v>
      </c>
      <c r="AV39" s="2">
        <v>1</v>
      </c>
      <c r="AW39" s="2">
        <v>0</v>
      </c>
      <c r="AX39" s="2">
        <v>0</v>
      </c>
      <c r="AY39" s="2"/>
      <c r="AZ39" s="2"/>
      <c r="BA39" s="2"/>
      <c r="BB39" s="2"/>
      <c r="BC39" s="2"/>
      <c r="BD39" s="2"/>
      <c r="BE39" s="2"/>
      <c r="BF39" s="2"/>
      <c r="BG39" s="2">
        <v>0</v>
      </c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>
        <v>1</v>
      </c>
      <c r="BV39" s="2">
        <v>0</v>
      </c>
      <c r="BW39" s="2">
        <v>1</v>
      </c>
      <c r="BX39" s="2">
        <v>1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</row>
    <row r="40" ht="46" customHeight="1" spans="1:102">
      <c r="A40" s="2" t="s">
        <v>362</v>
      </c>
      <c r="B40" s="2">
        <v>40</v>
      </c>
      <c r="C40" s="2" t="s">
        <v>286</v>
      </c>
      <c r="D40" s="2">
        <v>1</v>
      </c>
      <c r="E40" s="2">
        <v>1</v>
      </c>
      <c r="F40" s="2">
        <v>208</v>
      </c>
      <c r="G40" s="2" t="s">
        <v>9</v>
      </c>
      <c r="H40" s="2" t="s">
        <v>24</v>
      </c>
      <c r="I40" s="2" t="s">
        <v>29</v>
      </c>
      <c r="J40" s="2" t="s">
        <v>35</v>
      </c>
      <c r="K40" s="2" t="s">
        <v>42</v>
      </c>
      <c r="L40" s="2">
        <v>1</v>
      </c>
      <c r="M40" s="2" t="s">
        <v>45</v>
      </c>
      <c r="N40" s="2" t="s">
        <v>86</v>
      </c>
      <c r="O40" s="2">
        <v>0</v>
      </c>
      <c r="P40" s="2" t="s">
        <v>363</v>
      </c>
      <c r="Q40" s="2">
        <v>0</v>
      </c>
      <c r="R40" s="2">
        <v>0</v>
      </c>
      <c r="S40" s="2">
        <v>1</v>
      </c>
      <c r="T40" s="2">
        <v>1</v>
      </c>
      <c r="U40" s="2">
        <v>0</v>
      </c>
      <c r="V40" s="2" t="s">
        <v>324</v>
      </c>
      <c r="W40" s="2" t="s">
        <v>325</v>
      </c>
      <c r="X40" s="2" t="s">
        <v>86</v>
      </c>
      <c r="Y40" s="2">
        <v>1</v>
      </c>
      <c r="Z40" s="2">
        <v>1</v>
      </c>
      <c r="AA40" s="2">
        <v>1</v>
      </c>
      <c r="AB40" s="2">
        <v>1</v>
      </c>
      <c r="AC40" s="2">
        <v>1</v>
      </c>
      <c r="AD40" s="2">
        <v>1</v>
      </c>
      <c r="AE40" s="2">
        <v>0</v>
      </c>
      <c r="AF40" s="2">
        <v>0</v>
      </c>
      <c r="AG40" s="2">
        <v>0</v>
      </c>
      <c r="AH40" s="2"/>
      <c r="AI40" s="2"/>
      <c r="AJ40" s="2"/>
      <c r="AK40" s="2"/>
      <c r="AL40" s="2"/>
      <c r="AM40" s="2"/>
      <c r="AN40" s="2"/>
      <c r="AO40" s="2"/>
      <c r="AP40" s="2"/>
      <c r="AQ40" s="2">
        <v>0</v>
      </c>
      <c r="AR40" s="2"/>
      <c r="AS40" s="2"/>
      <c r="AT40" s="2"/>
      <c r="AU40" s="2"/>
      <c r="AV40" s="2"/>
      <c r="AW40" s="2"/>
      <c r="AX40" s="2">
        <v>0</v>
      </c>
      <c r="AY40" s="2"/>
      <c r="AZ40" s="2"/>
      <c r="BA40" s="2"/>
      <c r="BB40" s="2"/>
      <c r="BC40" s="2"/>
      <c r="BD40" s="2"/>
      <c r="BE40" s="2"/>
      <c r="BF40" s="2"/>
      <c r="BG40" s="2">
        <v>0</v>
      </c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>
        <v>1</v>
      </c>
      <c r="BV40" s="2">
        <v>1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1</v>
      </c>
      <c r="CC40" s="2">
        <v>0</v>
      </c>
      <c r="CD40" s="2">
        <v>0</v>
      </c>
      <c r="CE40" s="2">
        <v>0</v>
      </c>
      <c r="CF40" s="2">
        <v>0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</row>
    <row r="41" ht="46" customHeight="1" spans="1:102">
      <c r="A41" s="2" t="s">
        <v>364</v>
      </c>
      <c r="B41" s="2">
        <v>41</v>
      </c>
      <c r="C41" s="2" t="s">
        <v>286</v>
      </c>
      <c r="D41" s="2">
        <v>1</v>
      </c>
      <c r="E41" s="2">
        <v>1</v>
      </c>
      <c r="F41" s="2">
        <v>176</v>
      </c>
      <c r="G41" s="2" t="s">
        <v>7</v>
      </c>
      <c r="H41" s="2" t="s">
        <v>24</v>
      </c>
      <c r="I41" s="2" t="s">
        <v>28</v>
      </c>
      <c r="J41" s="2" t="s">
        <v>36</v>
      </c>
      <c r="K41" s="2" t="s">
        <v>46</v>
      </c>
      <c r="L41" s="2">
        <v>0</v>
      </c>
      <c r="M41" s="2" t="s">
        <v>43</v>
      </c>
      <c r="N41" s="2" t="s">
        <v>86</v>
      </c>
      <c r="O41" s="2">
        <v>0</v>
      </c>
      <c r="P41" s="2" t="s">
        <v>323</v>
      </c>
      <c r="Q41" s="2">
        <v>0</v>
      </c>
      <c r="R41" s="2">
        <v>0</v>
      </c>
      <c r="S41" s="2">
        <v>1</v>
      </c>
      <c r="T41" s="2">
        <v>0</v>
      </c>
      <c r="U41" s="2">
        <v>0</v>
      </c>
      <c r="V41" s="2" t="s">
        <v>324</v>
      </c>
      <c r="W41" s="2" t="s">
        <v>325</v>
      </c>
      <c r="X41" s="2" t="s">
        <v>86</v>
      </c>
      <c r="Y41" s="2">
        <v>0</v>
      </c>
      <c r="Z41" s="2"/>
      <c r="AA41" s="2"/>
      <c r="AB41" s="2"/>
      <c r="AC41" s="2"/>
      <c r="AD41" s="2"/>
      <c r="AE41" s="2"/>
      <c r="AF41" s="2"/>
      <c r="AG41" s="2">
        <v>0</v>
      </c>
      <c r="AH41" s="2"/>
      <c r="AI41" s="2"/>
      <c r="AJ41" s="2"/>
      <c r="AK41" s="2"/>
      <c r="AL41" s="2"/>
      <c r="AM41" s="2"/>
      <c r="AN41" s="2"/>
      <c r="AO41" s="2"/>
      <c r="AP41" s="2"/>
      <c r="AQ41" s="2">
        <v>1</v>
      </c>
      <c r="AR41" s="2">
        <v>0</v>
      </c>
      <c r="AS41" s="2">
        <v>0</v>
      </c>
      <c r="AT41" s="2">
        <v>0</v>
      </c>
      <c r="AU41" s="2">
        <v>0</v>
      </c>
      <c r="AV41" s="2">
        <v>1</v>
      </c>
      <c r="AW41" s="2">
        <v>0</v>
      </c>
      <c r="AX41" s="2">
        <v>0</v>
      </c>
      <c r="AY41" s="2"/>
      <c r="AZ41" s="2"/>
      <c r="BA41" s="2"/>
      <c r="BB41" s="2"/>
      <c r="BC41" s="2"/>
      <c r="BD41" s="2"/>
      <c r="BE41" s="2"/>
      <c r="BF41" s="2"/>
      <c r="BG41" s="2">
        <v>0</v>
      </c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>
        <v>1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1</v>
      </c>
      <c r="CE41" s="2">
        <v>0</v>
      </c>
      <c r="CF41" s="2">
        <v>1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1</v>
      </c>
      <c r="CP41" s="2">
        <v>0</v>
      </c>
      <c r="CQ41" s="2"/>
      <c r="CR41" s="2"/>
      <c r="CS41" s="2"/>
      <c r="CT41" s="2"/>
      <c r="CU41" s="2"/>
      <c r="CV41" s="2"/>
      <c r="CW41" s="2"/>
      <c r="CX41" s="2"/>
    </row>
    <row r="42" ht="46" customHeight="1" spans="1:102">
      <c r="A42" s="2" t="s">
        <v>365</v>
      </c>
      <c r="B42" s="2">
        <v>42</v>
      </c>
      <c r="C42" s="2" t="s">
        <v>286</v>
      </c>
      <c r="D42" s="2">
        <v>1</v>
      </c>
      <c r="E42" s="2">
        <v>1</v>
      </c>
      <c r="F42" s="2">
        <v>195</v>
      </c>
      <c r="G42" s="2" t="s">
        <v>7</v>
      </c>
      <c r="H42" s="2" t="s">
        <v>24</v>
      </c>
      <c r="I42" s="2" t="s">
        <v>29</v>
      </c>
      <c r="J42" s="2" t="s">
        <v>35</v>
      </c>
      <c r="K42" s="2" t="s">
        <v>46</v>
      </c>
      <c r="L42" s="2">
        <v>0</v>
      </c>
      <c r="M42" s="2" t="s">
        <v>43</v>
      </c>
      <c r="N42" s="2" t="s">
        <v>86</v>
      </c>
      <c r="O42" s="2">
        <v>0</v>
      </c>
      <c r="P42" s="2" t="s">
        <v>366</v>
      </c>
      <c r="Q42" s="2">
        <v>0</v>
      </c>
      <c r="R42" s="2">
        <v>0</v>
      </c>
      <c r="S42" s="2">
        <v>1</v>
      </c>
      <c r="T42" s="2">
        <v>0</v>
      </c>
      <c r="U42" s="2">
        <v>0</v>
      </c>
      <c r="V42" s="2" t="s">
        <v>324</v>
      </c>
      <c r="W42" s="2" t="s">
        <v>325</v>
      </c>
      <c r="X42" s="2" t="s">
        <v>86</v>
      </c>
      <c r="Y42" s="2">
        <v>0</v>
      </c>
      <c r="Z42" s="2"/>
      <c r="AA42" s="2"/>
      <c r="AB42" s="2"/>
      <c r="AC42" s="2"/>
      <c r="AD42" s="2"/>
      <c r="AE42" s="2"/>
      <c r="AF42" s="2"/>
      <c r="AG42" s="2">
        <v>0</v>
      </c>
      <c r="AH42" s="2"/>
      <c r="AI42" s="2"/>
      <c r="AJ42" s="2"/>
      <c r="AK42" s="2"/>
      <c r="AL42" s="2"/>
      <c r="AM42" s="2"/>
      <c r="AN42" s="2"/>
      <c r="AO42" s="2"/>
      <c r="AP42" s="2"/>
      <c r="AQ42" s="2">
        <v>1</v>
      </c>
      <c r="AR42" s="2">
        <v>0</v>
      </c>
      <c r="AS42" s="2">
        <v>0</v>
      </c>
      <c r="AT42" s="2">
        <v>0</v>
      </c>
      <c r="AU42" s="2">
        <v>0</v>
      </c>
      <c r="AV42" s="2">
        <v>1</v>
      </c>
      <c r="AW42" s="2">
        <v>0</v>
      </c>
      <c r="AX42" s="2">
        <v>0</v>
      </c>
      <c r="AY42" s="2"/>
      <c r="AZ42" s="2"/>
      <c r="BA42" s="2"/>
      <c r="BB42" s="2"/>
      <c r="BC42" s="2"/>
      <c r="BD42" s="2"/>
      <c r="BE42" s="2"/>
      <c r="BF42" s="2"/>
      <c r="BG42" s="2">
        <v>0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>
        <v>0</v>
      </c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>
        <v>1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1</v>
      </c>
      <c r="CN42" s="2">
        <v>0</v>
      </c>
      <c r="CO42" s="2">
        <v>0</v>
      </c>
      <c r="CP42" s="2">
        <v>0</v>
      </c>
      <c r="CQ42" s="2"/>
      <c r="CR42" s="2"/>
      <c r="CS42" s="2"/>
      <c r="CT42" s="2"/>
      <c r="CU42" s="2"/>
      <c r="CV42" s="2"/>
      <c r="CW42" s="2"/>
      <c r="CX42" s="2"/>
    </row>
    <row r="43" ht="46" customHeight="1" spans="1:102">
      <c r="A43" s="2" t="s">
        <v>367</v>
      </c>
      <c r="B43" s="2">
        <v>43</v>
      </c>
      <c r="C43" s="2" t="s">
        <v>316</v>
      </c>
      <c r="D43" s="2">
        <v>1</v>
      </c>
      <c r="E43" s="2">
        <v>0</v>
      </c>
      <c r="F43" s="2">
        <v>247</v>
      </c>
      <c r="G43" s="2" t="s">
        <v>11</v>
      </c>
      <c r="H43" s="2" t="s">
        <v>24</v>
      </c>
      <c r="I43" s="2" t="s">
        <v>28</v>
      </c>
      <c r="J43" s="2" t="s">
        <v>35</v>
      </c>
      <c r="K43" s="2" t="s">
        <v>46</v>
      </c>
      <c r="L43" s="2">
        <v>0</v>
      </c>
      <c r="M43" s="2" t="s">
        <v>45</v>
      </c>
      <c r="N43" s="2" t="s">
        <v>287</v>
      </c>
      <c r="O43" s="2">
        <v>0</v>
      </c>
      <c r="P43" s="2" t="s">
        <v>321</v>
      </c>
      <c r="Q43" s="2">
        <v>1</v>
      </c>
      <c r="R43" s="2">
        <v>0</v>
      </c>
      <c r="S43" s="2">
        <v>1</v>
      </c>
      <c r="T43" s="2">
        <v>1</v>
      </c>
      <c r="U43" s="2">
        <v>1</v>
      </c>
      <c r="V43" s="2" t="s">
        <v>289</v>
      </c>
      <c r="W43" s="2" t="s">
        <v>319</v>
      </c>
      <c r="X43" s="2" t="s">
        <v>83</v>
      </c>
      <c r="Y43" s="2">
        <v>0</v>
      </c>
      <c r="Z43" s="2"/>
      <c r="AA43" s="2"/>
      <c r="AB43" s="2"/>
      <c r="AC43" s="2"/>
      <c r="AD43" s="2"/>
      <c r="AE43" s="2"/>
      <c r="AF43" s="2"/>
      <c r="AG43" s="2">
        <v>0</v>
      </c>
      <c r="AH43" s="2"/>
      <c r="AI43" s="2"/>
      <c r="AJ43" s="2"/>
      <c r="AK43" s="2"/>
      <c r="AL43" s="2"/>
      <c r="AM43" s="2"/>
      <c r="AN43" s="2"/>
      <c r="AO43" s="2"/>
      <c r="AP43" s="2"/>
      <c r="AQ43" s="2">
        <v>0</v>
      </c>
      <c r="AR43" s="2"/>
      <c r="AS43" s="2"/>
      <c r="AT43" s="2"/>
      <c r="AU43" s="2"/>
      <c r="AV43" s="2"/>
      <c r="AW43" s="2"/>
      <c r="AX43" s="2">
        <v>1</v>
      </c>
      <c r="AY43" s="2">
        <v>0</v>
      </c>
      <c r="AZ43" s="2">
        <v>1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>
        <v>1</v>
      </c>
      <c r="BV43" s="2">
        <v>0</v>
      </c>
      <c r="BW43" s="2">
        <v>0</v>
      </c>
      <c r="BX43" s="2">
        <v>1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</row>
    <row r="44" ht="46" customHeight="1" spans="1:102">
      <c r="A44" s="2" t="s">
        <v>368</v>
      </c>
      <c r="B44" s="2">
        <v>44</v>
      </c>
      <c r="C44" s="2" t="s">
        <v>286</v>
      </c>
      <c r="D44" s="2">
        <v>1</v>
      </c>
      <c r="E44" s="2">
        <v>1</v>
      </c>
      <c r="F44" s="2">
        <v>252</v>
      </c>
      <c r="G44" s="2" t="s">
        <v>11</v>
      </c>
      <c r="H44" s="2" t="s">
        <v>24</v>
      </c>
      <c r="I44" s="2" t="s">
        <v>29</v>
      </c>
      <c r="J44" s="2" t="s">
        <v>38</v>
      </c>
      <c r="K44" s="2" t="s">
        <v>48</v>
      </c>
      <c r="L44" s="2">
        <v>1</v>
      </c>
      <c r="M44" s="2" t="s">
        <v>47</v>
      </c>
      <c r="N44" s="2" t="s">
        <v>86</v>
      </c>
      <c r="O44" s="2">
        <v>0</v>
      </c>
      <c r="P44" s="2" t="s">
        <v>323</v>
      </c>
      <c r="Q44" s="2">
        <v>0</v>
      </c>
      <c r="R44" s="2">
        <v>0</v>
      </c>
      <c r="S44" s="2">
        <v>1</v>
      </c>
      <c r="T44" s="2">
        <v>0</v>
      </c>
      <c r="U44" s="2">
        <v>0</v>
      </c>
      <c r="V44" s="2" t="s">
        <v>324</v>
      </c>
      <c r="W44" s="2" t="s">
        <v>325</v>
      </c>
      <c r="X44" s="2" t="s">
        <v>86</v>
      </c>
      <c r="Y44" s="2">
        <v>1</v>
      </c>
      <c r="Z44" s="2">
        <v>0</v>
      </c>
      <c r="AA44" s="2">
        <v>0</v>
      </c>
      <c r="AB44" s="2">
        <v>0</v>
      </c>
      <c r="AC44" s="2">
        <v>1</v>
      </c>
      <c r="AD44" s="2">
        <v>0</v>
      </c>
      <c r="AE44" s="2">
        <v>0</v>
      </c>
      <c r="AF44" s="2">
        <v>0</v>
      </c>
      <c r="AG44" s="2">
        <v>1</v>
      </c>
      <c r="AH44" s="2">
        <v>1</v>
      </c>
      <c r="AI44" s="2">
        <v>1</v>
      </c>
      <c r="AJ44" s="2">
        <v>0</v>
      </c>
      <c r="AK44" s="2">
        <v>1</v>
      </c>
      <c r="AL44" s="2">
        <v>0</v>
      </c>
      <c r="AM44" s="2">
        <v>0</v>
      </c>
      <c r="AN44" s="2">
        <v>1</v>
      </c>
      <c r="AO44" s="2">
        <v>0</v>
      </c>
      <c r="AP44" s="2">
        <v>1</v>
      </c>
      <c r="AQ44" s="2">
        <v>0</v>
      </c>
      <c r="AR44" s="2"/>
      <c r="AS44" s="2"/>
      <c r="AT44" s="2"/>
      <c r="AU44" s="2"/>
      <c r="AV44" s="2"/>
      <c r="AW44" s="2"/>
      <c r="AX44" s="2">
        <v>0</v>
      </c>
      <c r="AY44" s="2"/>
      <c r="AZ44" s="2"/>
      <c r="BA44" s="2"/>
      <c r="BB44" s="2"/>
      <c r="BC44" s="2"/>
      <c r="BD44" s="2"/>
      <c r="BE44" s="2"/>
      <c r="BF44" s="2"/>
      <c r="BG44" s="2">
        <v>0</v>
      </c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>
        <v>1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1</v>
      </c>
      <c r="CC44" s="2">
        <v>0</v>
      </c>
      <c r="CD44" s="2">
        <v>0</v>
      </c>
      <c r="CE44" s="2">
        <v>0</v>
      </c>
      <c r="CF44" s="2">
        <v>1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1</v>
      </c>
      <c r="CP44" s="2">
        <v>0</v>
      </c>
      <c r="CQ44" s="2"/>
      <c r="CR44" s="2"/>
      <c r="CS44" s="2"/>
      <c r="CT44" s="2"/>
      <c r="CU44" s="2"/>
      <c r="CV44" s="2"/>
      <c r="CW44" s="2"/>
      <c r="CX44" s="2"/>
    </row>
    <row r="45" ht="46" customHeight="1" spans="1:102">
      <c r="A45" s="2" t="s">
        <v>369</v>
      </c>
      <c r="B45" s="2">
        <v>45</v>
      </c>
      <c r="C45" s="2" t="s">
        <v>316</v>
      </c>
      <c r="D45" s="2">
        <v>1</v>
      </c>
      <c r="E45" s="2">
        <v>0</v>
      </c>
      <c r="F45" s="2">
        <v>252</v>
      </c>
      <c r="G45" s="2" t="s">
        <v>7</v>
      </c>
      <c r="H45" s="2" t="s">
        <v>24</v>
      </c>
      <c r="I45" s="2" t="s">
        <v>27</v>
      </c>
      <c r="J45" s="2" t="s">
        <v>37</v>
      </c>
      <c r="K45" s="2" t="s">
        <v>46</v>
      </c>
      <c r="L45" s="2">
        <v>0</v>
      </c>
      <c r="M45" s="2" t="s">
        <v>43</v>
      </c>
      <c r="N45" s="2" t="s">
        <v>85</v>
      </c>
      <c r="O45" s="2">
        <v>0</v>
      </c>
      <c r="P45" s="2" t="s">
        <v>336</v>
      </c>
      <c r="Q45" s="2">
        <v>1</v>
      </c>
      <c r="R45" s="2">
        <v>0</v>
      </c>
      <c r="S45" s="2">
        <v>1</v>
      </c>
      <c r="T45" s="2">
        <v>0</v>
      </c>
      <c r="U45" s="2">
        <v>1</v>
      </c>
      <c r="V45" s="2" t="s">
        <v>289</v>
      </c>
      <c r="W45" s="2" t="s">
        <v>299</v>
      </c>
      <c r="X45" s="2" t="s">
        <v>85</v>
      </c>
      <c r="Y45" s="2">
        <v>0</v>
      </c>
      <c r="Z45" s="2"/>
      <c r="AA45" s="2"/>
      <c r="AB45" s="2"/>
      <c r="AC45" s="2"/>
      <c r="AD45" s="2"/>
      <c r="AE45" s="2"/>
      <c r="AF45" s="2"/>
      <c r="AG45" s="2">
        <v>0</v>
      </c>
      <c r="AH45" s="2"/>
      <c r="AI45" s="2"/>
      <c r="AJ45" s="2"/>
      <c r="AK45" s="2"/>
      <c r="AL45" s="2"/>
      <c r="AM45" s="2"/>
      <c r="AN45" s="2"/>
      <c r="AO45" s="2"/>
      <c r="AP45" s="2"/>
      <c r="AQ45" s="2">
        <v>1</v>
      </c>
      <c r="AR45" s="2">
        <v>1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/>
      <c r="AZ45" s="2"/>
      <c r="BA45" s="2"/>
      <c r="BB45" s="2"/>
      <c r="BC45" s="2"/>
      <c r="BD45" s="2"/>
      <c r="BE45" s="2"/>
      <c r="BF45" s="2"/>
      <c r="BG45" s="2">
        <v>0</v>
      </c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>
        <v>1</v>
      </c>
      <c r="BV45" s="2">
        <v>0</v>
      </c>
      <c r="BW45" s="2">
        <v>1</v>
      </c>
      <c r="BX45" s="2">
        <v>0</v>
      </c>
      <c r="BY45" s="2">
        <v>0</v>
      </c>
      <c r="BZ45" s="2">
        <v>0</v>
      </c>
      <c r="CA45" s="2">
        <v>0</v>
      </c>
      <c r="CB45" s="2">
        <v>1</v>
      </c>
      <c r="CC45" s="2">
        <v>0</v>
      </c>
      <c r="CD45" s="2">
        <v>0</v>
      </c>
      <c r="CE45" s="2">
        <v>0</v>
      </c>
      <c r="CF45" s="2">
        <v>1</v>
      </c>
      <c r="CG45" s="2">
        <v>0</v>
      </c>
      <c r="CH45" s="2">
        <v>1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/>
      <c r="CR45" s="2"/>
      <c r="CS45" s="2"/>
      <c r="CT45" s="2"/>
      <c r="CU45" s="2"/>
      <c r="CV45" s="2"/>
      <c r="CW45" s="2"/>
      <c r="CX45" s="2"/>
    </row>
    <row r="46" ht="46" customHeight="1" spans="1:102">
      <c r="A46" s="2" t="s">
        <v>370</v>
      </c>
      <c r="B46" s="2">
        <v>46</v>
      </c>
      <c r="C46" s="2" t="s">
        <v>316</v>
      </c>
      <c r="D46" s="2">
        <v>1</v>
      </c>
      <c r="E46" s="2">
        <v>0</v>
      </c>
      <c r="F46" s="2">
        <v>265</v>
      </c>
      <c r="G46" s="2" t="s">
        <v>11</v>
      </c>
      <c r="H46" s="2" t="s">
        <v>23</v>
      </c>
      <c r="I46" s="2" t="s">
        <v>29</v>
      </c>
      <c r="J46" s="2" t="s">
        <v>35</v>
      </c>
      <c r="K46" s="2" t="s">
        <v>46</v>
      </c>
      <c r="L46" s="2">
        <v>0</v>
      </c>
      <c r="M46" s="2" t="s">
        <v>43</v>
      </c>
      <c r="N46" s="2" t="s">
        <v>85</v>
      </c>
      <c r="O46" s="2">
        <v>0</v>
      </c>
      <c r="P46" s="2" t="s">
        <v>336</v>
      </c>
      <c r="Q46" s="2">
        <v>1</v>
      </c>
      <c r="R46" s="2">
        <v>0</v>
      </c>
      <c r="S46" s="2">
        <v>1</v>
      </c>
      <c r="T46" s="2">
        <v>0</v>
      </c>
      <c r="U46" s="2">
        <v>1</v>
      </c>
      <c r="V46" s="2" t="s">
        <v>289</v>
      </c>
      <c r="W46" s="2" t="s">
        <v>299</v>
      </c>
      <c r="X46" s="2" t="s">
        <v>85</v>
      </c>
      <c r="Y46" s="2">
        <v>0</v>
      </c>
      <c r="Z46" s="2"/>
      <c r="AA46" s="2"/>
      <c r="AB46" s="2"/>
      <c r="AC46" s="2"/>
      <c r="AD46" s="2"/>
      <c r="AE46" s="2"/>
      <c r="AF46" s="2"/>
      <c r="AG46" s="2">
        <v>0</v>
      </c>
      <c r="AH46" s="2"/>
      <c r="AI46" s="2"/>
      <c r="AJ46" s="2"/>
      <c r="AK46" s="2"/>
      <c r="AL46" s="2"/>
      <c r="AM46" s="2"/>
      <c r="AN46" s="2"/>
      <c r="AO46" s="2"/>
      <c r="AP46" s="2"/>
      <c r="AQ46" s="2">
        <v>1</v>
      </c>
      <c r="AR46" s="2">
        <v>0</v>
      </c>
      <c r="AS46" s="2">
        <v>0</v>
      </c>
      <c r="AT46" s="2">
        <v>0</v>
      </c>
      <c r="AU46" s="2">
        <v>1</v>
      </c>
      <c r="AV46" s="2">
        <v>0</v>
      </c>
      <c r="AW46" s="2">
        <v>0</v>
      </c>
      <c r="AX46" s="2">
        <v>0</v>
      </c>
      <c r="AY46" s="2"/>
      <c r="AZ46" s="2"/>
      <c r="BA46" s="2"/>
      <c r="BB46" s="2"/>
      <c r="BC46" s="2"/>
      <c r="BD46" s="2"/>
      <c r="BE46" s="2"/>
      <c r="BF46" s="2"/>
      <c r="BG46" s="2">
        <v>0</v>
      </c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>
        <v>1</v>
      </c>
      <c r="BV46" s="2">
        <v>0</v>
      </c>
      <c r="BW46" s="2">
        <v>0</v>
      </c>
      <c r="BX46" s="2">
        <v>1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1</v>
      </c>
      <c r="CG46" s="2">
        <v>0</v>
      </c>
      <c r="CH46" s="2">
        <v>1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/>
      <c r="CR46" s="2"/>
      <c r="CS46" s="2"/>
      <c r="CT46" s="2"/>
      <c r="CU46" s="2"/>
      <c r="CV46" s="2"/>
      <c r="CW46" s="2"/>
      <c r="CX46" s="2"/>
    </row>
    <row r="47" ht="46" customHeight="1" spans="1:102">
      <c r="A47" s="2" t="s">
        <v>371</v>
      </c>
      <c r="B47" s="2">
        <v>47</v>
      </c>
      <c r="C47" s="2" t="s">
        <v>286</v>
      </c>
      <c r="D47" s="2">
        <v>1</v>
      </c>
      <c r="E47" s="2">
        <v>1</v>
      </c>
      <c r="F47" s="2">
        <v>138</v>
      </c>
      <c r="G47" s="2" t="s">
        <v>9</v>
      </c>
      <c r="H47" s="2" t="s">
        <v>23</v>
      </c>
      <c r="I47" s="2" t="s">
        <v>28</v>
      </c>
      <c r="J47" s="2" t="s">
        <v>33</v>
      </c>
      <c r="K47" s="2" t="s">
        <v>44</v>
      </c>
      <c r="L47" s="2">
        <v>1</v>
      </c>
      <c r="M47" s="2" t="s">
        <v>43</v>
      </c>
      <c r="N47" s="2" t="s">
        <v>85</v>
      </c>
      <c r="O47" s="2">
        <v>1</v>
      </c>
      <c r="P47" s="2" t="s">
        <v>329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 t="s">
        <v>324</v>
      </c>
      <c r="W47" s="2" t="s">
        <v>325</v>
      </c>
      <c r="X47" s="2" t="s">
        <v>85</v>
      </c>
      <c r="Y47" s="2">
        <v>1</v>
      </c>
      <c r="Z47" s="2">
        <v>1</v>
      </c>
      <c r="AA47" s="2">
        <v>0</v>
      </c>
      <c r="AB47" s="2">
        <v>0</v>
      </c>
      <c r="AC47" s="2">
        <v>1</v>
      </c>
      <c r="AD47" s="2">
        <v>0</v>
      </c>
      <c r="AE47" s="2">
        <v>0</v>
      </c>
      <c r="AF47" s="2">
        <v>0</v>
      </c>
      <c r="AG47" s="2">
        <v>1</v>
      </c>
      <c r="AH47" s="2">
        <v>0</v>
      </c>
      <c r="AI47" s="2">
        <v>0</v>
      </c>
      <c r="AJ47" s="2">
        <v>0</v>
      </c>
      <c r="AK47" s="2">
        <v>1</v>
      </c>
      <c r="AL47" s="2">
        <v>1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/>
      <c r="AS47" s="2"/>
      <c r="AT47" s="2"/>
      <c r="AU47" s="2"/>
      <c r="AV47" s="2"/>
      <c r="AW47" s="2"/>
      <c r="AX47" s="2">
        <v>0</v>
      </c>
      <c r="AY47" s="2"/>
      <c r="AZ47" s="2"/>
      <c r="BA47" s="2"/>
      <c r="BB47" s="2"/>
      <c r="BC47" s="2"/>
      <c r="BD47" s="2"/>
      <c r="BE47" s="2"/>
      <c r="BF47" s="2"/>
      <c r="BG47" s="2">
        <v>0</v>
      </c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>
        <v>1</v>
      </c>
      <c r="BV47" s="2">
        <v>0</v>
      </c>
      <c r="BW47" s="2">
        <v>0</v>
      </c>
      <c r="BX47" s="2">
        <v>1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1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1</v>
      </c>
      <c r="CP47" s="2">
        <v>0</v>
      </c>
      <c r="CQ47" s="2"/>
      <c r="CR47" s="2"/>
      <c r="CS47" s="2"/>
      <c r="CT47" s="2"/>
      <c r="CU47" s="2"/>
      <c r="CV47" s="2"/>
      <c r="CW47" s="2"/>
      <c r="CX47" s="2"/>
    </row>
    <row r="48" ht="46" customHeight="1" spans="1:102">
      <c r="A48" s="2" t="s">
        <v>372</v>
      </c>
      <c r="B48" s="2">
        <v>48</v>
      </c>
      <c r="C48" s="2" t="s">
        <v>316</v>
      </c>
      <c r="D48" s="2">
        <v>1</v>
      </c>
      <c r="E48" s="2">
        <v>0</v>
      </c>
      <c r="F48" s="2">
        <v>165</v>
      </c>
      <c r="G48" s="2" t="s">
        <v>7</v>
      </c>
      <c r="H48" s="2" t="s">
        <v>24</v>
      </c>
      <c r="I48" s="2" t="s">
        <v>29</v>
      </c>
      <c r="J48" s="2" t="s">
        <v>36</v>
      </c>
      <c r="K48" s="2" t="s">
        <v>46</v>
      </c>
      <c r="L48" s="2">
        <v>0</v>
      </c>
      <c r="M48" s="2" t="s">
        <v>45</v>
      </c>
      <c r="N48" s="2" t="s">
        <v>287</v>
      </c>
      <c r="O48" s="2">
        <v>0</v>
      </c>
      <c r="P48" s="2" t="s">
        <v>336</v>
      </c>
      <c r="Q48" s="2">
        <v>1</v>
      </c>
      <c r="R48" s="2">
        <v>0</v>
      </c>
      <c r="S48" s="2">
        <v>1</v>
      </c>
      <c r="T48" s="2">
        <v>0</v>
      </c>
      <c r="U48" s="2">
        <v>1</v>
      </c>
      <c r="V48" s="2" t="s">
        <v>293</v>
      </c>
      <c r="W48" s="2" t="s">
        <v>319</v>
      </c>
      <c r="X48" s="2" t="s">
        <v>84</v>
      </c>
      <c r="Y48" s="2">
        <v>0</v>
      </c>
      <c r="Z48" s="2"/>
      <c r="AA48" s="2"/>
      <c r="AB48" s="2"/>
      <c r="AC48" s="2"/>
      <c r="AD48" s="2"/>
      <c r="AE48" s="2"/>
      <c r="AF48" s="2"/>
      <c r="AG48" s="2">
        <v>0</v>
      </c>
      <c r="AH48" s="2"/>
      <c r="AI48" s="2"/>
      <c r="AJ48" s="2"/>
      <c r="AK48" s="2"/>
      <c r="AL48" s="2"/>
      <c r="AM48" s="2"/>
      <c r="AN48" s="2"/>
      <c r="AO48" s="2"/>
      <c r="AP48" s="2"/>
      <c r="AQ48" s="2">
        <v>0</v>
      </c>
      <c r="AR48" s="2"/>
      <c r="AS48" s="2"/>
      <c r="AT48" s="2"/>
      <c r="AU48" s="2"/>
      <c r="AV48" s="2"/>
      <c r="AW48" s="2"/>
      <c r="AX48" s="2">
        <v>1</v>
      </c>
      <c r="AY48" s="2">
        <v>1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1</v>
      </c>
      <c r="BG48" s="2">
        <v>0</v>
      </c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>
        <v>1</v>
      </c>
      <c r="BV48" s="2">
        <v>0</v>
      </c>
      <c r="BW48" s="2">
        <v>1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1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1</v>
      </c>
      <c r="CM48" s="2">
        <v>0</v>
      </c>
      <c r="CN48" s="2">
        <v>0</v>
      </c>
      <c r="CO48" s="2">
        <v>0</v>
      </c>
      <c r="CP48" s="2">
        <v>0</v>
      </c>
      <c r="CQ48" s="2"/>
      <c r="CR48" s="2"/>
      <c r="CS48" s="2"/>
      <c r="CT48" s="2"/>
      <c r="CU48" s="2"/>
      <c r="CV48" s="2"/>
      <c r="CW48" s="2"/>
      <c r="CX48" s="2"/>
    </row>
    <row r="49" ht="46" customHeight="1" spans="1:102">
      <c r="A49" s="2" t="s">
        <v>373</v>
      </c>
      <c r="B49" s="2">
        <v>49</v>
      </c>
      <c r="C49" s="2" t="s">
        <v>286</v>
      </c>
      <c r="D49" s="2">
        <v>1</v>
      </c>
      <c r="E49" s="2">
        <v>1</v>
      </c>
      <c r="F49" s="2">
        <v>290</v>
      </c>
      <c r="G49" s="2" t="s">
        <v>11</v>
      </c>
      <c r="H49" s="2" t="s">
        <v>24</v>
      </c>
      <c r="I49" s="2" t="s">
        <v>28</v>
      </c>
      <c r="J49" s="2" t="s">
        <v>37</v>
      </c>
      <c r="K49" s="2" t="s">
        <v>46</v>
      </c>
      <c r="L49" s="2">
        <v>0</v>
      </c>
      <c r="M49" s="2" t="s">
        <v>47</v>
      </c>
      <c r="N49" s="2" t="s">
        <v>86</v>
      </c>
      <c r="O49" s="2">
        <v>0</v>
      </c>
      <c r="P49" s="2" t="s">
        <v>323</v>
      </c>
      <c r="Q49" s="2">
        <v>0</v>
      </c>
      <c r="R49" s="2">
        <v>0</v>
      </c>
      <c r="S49" s="2">
        <v>1</v>
      </c>
      <c r="T49" s="2">
        <v>0</v>
      </c>
      <c r="U49" s="2">
        <v>0</v>
      </c>
      <c r="V49" s="2" t="s">
        <v>324</v>
      </c>
      <c r="W49" s="2" t="s">
        <v>325</v>
      </c>
      <c r="X49" s="2" t="s">
        <v>86</v>
      </c>
      <c r="Y49" s="2">
        <v>0</v>
      </c>
      <c r="Z49" s="2"/>
      <c r="AA49" s="2"/>
      <c r="AB49" s="2"/>
      <c r="AC49" s="2"/>
      <c r="AD49" s="2"/>
      <c r="AE49" s="2"/>
      <c r="AF49" s="2"/>
      <c r="AG49" s="2">
        <v>0</v>
      </c>
      <c r="AH49" s="2"/>
      <c r="AI49" s="2"/>
      <c r="AJ49" s="2"/>
      <c r="AK49" s="2"/>
      <c r="AL49" s="2"/>
      <c r="AM49" s="2"/>
      <c r="AN49" s="2"/>
      <c r="AO49" s="2"/>
      <c r="AP49" s="2"/>
      <c r="AQ49" s="2">
        <v>0</v>
      </c>
      <c r="AR49" s="2"/>
      <c r="AS49" s="2"/>
      <c r="AT49" s="2"/>
      <c r="AU49" s="2"/>
      <c r="AV49" s="2"/>
      <c r="AW49" s="2"/>
      <c r="AX49" s="2">
        <v>0</v>
      </c>
      <c r="AY49" s="2"/>
      <c r="AZ49" s="2"/>
      <c r="BA49" s="2"/>
      <c r="BB49" s="2"/>
      <c r="BC49" s="2"/>
      <c r="BD49" s="2"/>
      <c r="BE49" s="2"/>
      <c r="BF49" s="2"/>
      <c r="BG49" s="2">
        <v>0</v>
      </c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>
        <v>1</v>
      </c>
      <c r="BV49" s="2">
        <v>0</v>
      </c>
      <c r="BW49" s="2">
        <v>0</v>
      </c>
      <c r="BX49" s="2">
        <v>1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1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1</v>
      </c>
      <c r="CP49" s="2">
        <v>0</v>
      </c>
      <c r="CQ49" s="2"/>
      <c r="CR49" s="2"/>
      <c r="CS49" s="2"/>
      <c r="CT49" s="2"/>
      <c r="CU49" s="2"/>
      <c r="CV49" s="2"/>
      <c r="CW49" s="2"/>
      <c r="CX49" s="2"/>
    </row>
    <row r="50" ht="46" customHeight="1" spans="1:102">
      <c r="A50" s="2" t="s">
        <v>374</v>
      </c>
      <c r="B50" s="2">
        <v>50</v>
      </c>
      <c r="C50" s="2" t="s">
        <v>286</v>
      </c>
      <c r="D50" s="2">
        <v>1</v>
      </c>
      <c r="E50" s="2">
        <v>1</v>
      </c>
      <c r="F50" s="2">
        <v>159</v>
      </c>
      <c r="G50" s="2" t="s">
        <v>11</v>
      </c>
      <c r="H50" s="2" t="s">
        <v>24</v>
      </c>
      <c r="I50" s="2" t="s">
        <v>28</v>
      </c>
      <c r="J50" s="2" t="s">
        <v>35</v>
      </c>
      <c r="K50" s="2" t="s">
        <v>46</v>
      </c>
      <c r="L50" s="2">
        <v>0</v>
      </c>
      <c r="M50" s="2" t="s">
        <v>47</v>
      </c>
      <c r="N50" s="2" t="s">
        <v>86</v>
      </c>
      <c r="O50" s="2">
        <v>0</v>
      </c>
      <c r="P50" s="2" t="s">
        <v>323</v>
      </c>
      <c r="Q50" s="2">
        <v>0</v>
      </c>
      <c r="R50" s="2">
        <v>0</v>
      </c>
      <c r="S50" s="2">
        <v>1</v>
      </c>
      <c r="T50" s="2">
        <v>0</v>
      </c>
      <c r="U50" s="2">
        <v>0</v>
      </c>
      <c r="V50" s="2" t="s">
        <v>324</v>
      </c>
      <c r="W50" s="2" t="s">
        <v>325</v>
      </c>
      <c r="X50" s="2" t="s">
        <v>86</v>
      </c>
      <c r="Y50" s="2">
        <v>0</v>
      </c>
      <c r="Z50" s="2"/>
      <c r="AA50" s="2"/>
      <c r="AB50" s="2"/>
      <c r="AC50" s="2"/>
      <c r="AD50" s="2"/>
      <c r="AE50" s="2"/>
      <c r="AF50" s="2"/>
      <c r="AG50" s="2">
        <v>0</v>
      </c>
      <c r="AH50" s="2"/>
      <c r="AI50" s="2"/>
      <c r="AJ50" s="2"/>
      <c r="AK50" s="2"/>
      <c r="AL50" s="2"/>
      <c r="AM50" s="2"/>
      <c r="AN50" s="2"/>
      <c r="AO50" s="2"/>
      <c r="AP50" s="2"/>
      <c r="AQ50" s="2">
        <v>0</v>
      </c>
      <c r="AR50" s="2"/>
      <c r="AS50" s="2"/>
      <c r="AT50" s="2"/>
      <c r="AU50" s="2"/>
      <c r="AV50" s="2"/>
      <c r="AW50" s="2"/>
      <c r="AX50" s="2">
        <v>0</v>
      </c>
      <c r="AY50" s="2"/>
      <c r="AZ50" s="2"/>
      <c r="BA50" s="2"/>
      <c r="BB50" s="2"/>
      <c r="BC50" s="2"/>
      <c r="BD50" s="2"/>
      <c r="BE50" s="2"/>
      <c r="BF50" s="2"/>
      <c r="BG50" s="2">
        <v>0</v>
      </c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>
        <v>1</v>
      </c>
      <c r="BV50" s="2">
        <v>0</v>
      </c>
      <c r="BW50" s="2">
        <v>0</v>
      </c>
      <c r="BX50" s="2">
        <v>0</v>
      </c>
      <c r="BY50" s="2">
        <v>0</v>
      </c>
      <c r="BZ50" s="2">
        <v>1</v>
      </c>
      <c r="CA50" s="2">
        <v>0</v>
      </c>
      <c r="CB50" s="2">
        <v>0</v>
      </c>
      <c r="CC50" s="2">
        <v>1</v>
      </c>
      <c r="CD50" s="2">
        <v>0</v>
      </c>
      <c r="CE50" s="2">
        <v>0</v>
      </c>
      <c r="CF50" s="2">
        <v>1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1</v>
      </c>
      <c r="CO50" s="2">
        <v>0</v>
      </c>
      <c r="CP50" s="2">
        <v>0</v>
      </c>
      <c r="CQ50" s="2"/>
      <c r="CR50" s="2"/>
      <c r="CS50" s="2"/>
      <c r="CT50" s="2"/>
      <c r="CU50" s="2"/>
      <c r="CV50" s="2"/>
      <c r="CW50" s="2"/>
      <c r="CX50" s="2"/>
    </row>
    <row r="51" ht="46" customHeight="1" spans="1:102">
      <c r="A51" s="2" t="s">
        <v>375</v>
      </c>
      <c r="B51" s="2">
        <v>51</v>
      </c>
      <c r="C51" s="2" t="s">
        <v>286</v>
      </c>
      <c r="D51" s="2">
        <v>1</v>
      </c>
      <c r="E51" s="2">
        <v>1</v>
      </c>
      <c r="F51" s="2">
        <v>172</v>
      </c>
      <c r="G51" s="2" t="s">
        <v>7</v>
      </c>
      <c r="H51" s="2" t="s">
        <v>24</v>
      </c>
      <c r="I51" s="2" t="s">
        <v>30</v>
      </c>
      <c r="J51" s="2" t="s">
        <v>38</v>
      </c>
      <c r="K51" s="2" t="s">
        <v>42</v>
      </c>
      <c r="L51" s="2">
        <v>1</v>
      </c>
      <c r="M51" s="2" t="s">
        <v>47</v>
      </c>
      <c r="N51" s="2" t="s">
        <v>86</v>
      </c>
      <c r="O51" s="2">
        <v>0</v>
      </c>
      <c r="P51" s="2" t="s">
        <v>366</v>
      </c>
      <c r="Q51" s="2">
        <v>0</v>
      </c>
      <c r="R51" s="2">
        <v>0</v>
      </c>
      <c r="S51" s="2">
        <v>1</v>
      </c>
      <c r="T51" s="2">
        <v>0</v>
      </c>
      <c r="U51" s="2">
        <v>0</v>
      </c>
      <c r="V51" s="2" t="s">
        <v>324</v>
      </c>
      <c r="W51" s="2" t="s">
        <v>325</v>
      </c>
      <c r="X51" s="2" t="s">
        <v>86</v>
      </c>
      <c r="Y51" s="2">
        <v>1</v>
      </c>
      <c r="Z51" s="2">
        <v>1</v>
      </c>
      <c r="AA51" s="2">
        <v>0</v>
      </c>
      <c r="AB51" s="2">
        <v>0</v>
      </c>
      <c r="AC51" s="2">
        <v>1</v>
      </c>
      <c r="AD51" s="2">
        <v>0</v>
      </c>
      <c r="AE51" s="2">
        <v>1</v>
      </c>
      <c r="AF51" s="2">
        <v>0</v>
      </c>
      <c r="AG51" s="2">
        <v>1</v>
      </c>
      <c r="AH51" s="2">
        <v>0</v>
      </c>
      <c r="AI51" s="2">
        <v>1</v>
      </c>
      <c r="AJ51" s="2">
        <v>0</v>
      </c>
      <c r="AK51" s="2">
        <v>1</v>
      </c>
      <c r="AL51" s="2">
        <v>0</v>
      </c>
      <c r="AM51" s="2">
        <v>0</v>
      </c>
      <c r="AN51" s="2">
        <v>0</v>
      </c>
      <c r="AO51" s="2">
        <v>0</v>
      </c>
      <c r="AP51" s="2">
        <v>1</v>
      </c>
      <c r="AQ51" s="2">
        <v>0</v>
      </c>
      <c r="AR51" s="2"/>
      <c r="AS51" s="2"/>
      <c r="AT51" s="2"/>
      <c r="AU51" s="2"/>
      <c r="AV51" s="2"/>
      <c r="AW51" s="2"/>
      <c r="AX51" s="2">
        <v>0</v>
      </c>
      <c r="AY51" s="2"/>
      <c r="AZ51" s="2"/>
      <c r="BA51" s="2"/>
      <c r="BB51" s="2"/>
      <c r="BC51" s="2"/>
      <c r="BD51" s="2"/>
      <c r="BE51" s="2"/>
      <c r="BF51" s="2"/>
      <c r="BG51" s="2">
        <v>0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>
        <v>0</v>
      </c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>
        <v>1</v>
      </c>
      <c r="CG51" s="2">
        <v>0</v>
      </c>
      <c r="CH51" s="2">
        <v>1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/>
      <c r="CR51" s="2"/>
      <c r="CS51" s="2"/>
      <c r="CT51" s="2"/>
      <c r="CU51" s="2"/>
      <c r="CV51" s="2"/>
      <c r="CW51" s="2"/>
      <c r="CX51" s="2"/>
    </row>
    <row r="52" ht="46" customHeight="1" spans="1:102">
      <c r="A52" s="2" t="s">
        <v>376</v>
      </c>
      <c r="B52" s="2">
        <v>52</v>
      </c>
      <c r="C52" s="2" t="s">
        <v>286</v>
      </c>
      <c r="D52" s="2">
        <v>1</v>
      </c>
      <c r="E52" s="2">
        <v>1</v>
      </c>
      <c r="F52" s="2">
        <v>137</v>
      </c>
      <c r="G52" s="2" t="s">
        <v>9</v>
      </c>
      <c r="H52" s="2" t="s">
        <v>14</v>
      </c>
      <c r="I52" s="2" t="s">
        <v>28</v>
      </c>
      <c r="J52" s="2" t="s">
        <v>37</v>
      </c>
      <c r="K52" s="2" t="s">
        <v>46</v>
      </c>
      <c r="L52" s="2">
        <v>0</v>
      </c>
      <c r="M52" s="2" t="s">
        <v>45</v>
      </c>
      <c r="N52" s="2" t="s">
        <v>86</v>
      </c>
      <c r="O52" s="2">
        <v>0</v>
      </c>
      <c r="P52" s="2" t="s">
        <v>344</v>
      </c>
      <c r="Q52" s="2">
        <v>0</v>
      </c>
      <c r="R52" s="2">
        <v>0</v>
      </c>
      <c r="S52" s="2">
        <v>1</v>
      </c>
      <c r="T52" s="2">
        <v>1</v>
      </c>
      <c r="U52" s="2">
        <v>0</v>
      </c>
      <c r="V52" s="2" t="s">
        <v>324</v>
      </c>
      <c r="W52" s="2" t="s">
        <v>325</v>
      </c>
      <c r="X52" s="2" t="s">
        <v>86</v>
      </c>
      <c r="Y52" s="2">
        <v>0</v>
      </c>
      <c r="Z52" s="2"/>
      <c r="AA52" s="2"/>
      <c r="AB52" s="2"/>
      <c r="AC52" s="2"/>
      <c r="AD52" s="2"/>
      <c r="AE52" s="2"/>
      <c r="AF52" s="2"/>
      <c r="AG52" s="2">
        <v>0</v>
      </c>
      <c r="AH52" s="2"/>
      <c r="AI52" s="2"/>
      <c r="AJ52" s="2"/>
      <c r="AK52" s="2"/>
      <c r="AL52" s="2"/>
      <c r="AM52" s="2"/>
      <c r="AN52" s="2"/>
      <c r="AO52" s="2"/>
      <c r="AP52" s="2"/>
      <c r="AQ52" s="2">
        <v>0</v>
      </c>
      <c r="AR52" s="2"/>
      <c r="AS52" s="2"/>
      <c r="AT52" s="2"/>
      <c r="AU52" s="2"/>
      <c r="AV52" s="2"/>
      <c r="AW52" s="2"/>
      <c r="AX52" s="2">
        <v>0</v>
      </c>
      <c r="AY52" s="2"/>
      <c r="AZ52" s="2"/>
      <c r="BA52" s="2"/>
      <c r="BB52" s="2"/>
      <c r="BC52" s="2"/>
      <c r="BD52" s="2"/>
      <c r="BE52" s="2"/>
      <c r="BF52" s="2"/>
      <c r="BG52" s="2">
        <v>0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>
        <v>1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1</v>
      </c>
      <c r="CD52" s="2">
        <v>0</v>
      </c>
      <c r="CE52" s="2">
        <v>0</v>
      </c>
      <c r="CF52" s="2">
        <v>0</v>
      </c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</row>
    <row r="53" ht="46" customHeight="1" spans="1:102">
      <c r="A53" s="2" t="s">
        <v>377</v>
      </c>
      <c r="B53" s="2">
        <v>53</v>
      </c>
      <c r="C53" s="2" t="s">
        <v>316</v>
      </c>
      <c r="D53" s="2">
        <v>1</v>
      </c>
      <c r="E53" s="2">
        <v>0</v>
      </c>
      <c r="F53" s="2">
        <v>300</v>
      </c>
      <c r="G53" s="2" t="s">
        <v>9</v>
      </c>
      <c r="H53" s="2" t="s">
        <v>24</v>
      </c>
      <c r="I53" s="2" t="s">
        <v>14</v>
      </c>
      <c r="J53" s="2" t="s">
        <v>35</v>
      </c>
      <c r="K53" s="2" t="s">
        <v>42</v>
      </c>
      <c r="L53" s="2">
        <v>1</v>
      </c>
      <c r="M53" s="2" t="s">
        <v>43</v>
      </c>
      <c r="N53" s="2" t="s">
        <v>287</v>
      </c>
      <c r="O53" s="2">
        <v>0</v>
      </c>
      <c r="P53" s="2" t="s">
        <v>336</v>
      </c>
      <c r="Q53" s="2">
        <v>1</v>
      </c>
      <c r="R53" s="2">
        <v>0</v>
      </c>
      <c r="S53" s="2">
        <v>1</v>
      </c>
      <c r="T53" s="2">
        <v>0</v>
      </c>
      <c r="U53" s="2">
        <v>1</v>
      </c>
      <c r="V53" s="2" t="s">
        <v>289</v>
      </c>
      <c r="W53" s="2" t="s">
        <v>319</v>
      </c>
      <c r="X53" s="2" t="s">
        <v>83</v>
      </c>
      <c r="Y53" s="2">
        <v>1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1</v>
      </c>
      <c r="AF53" s="2">
        <v>0</v>
      </c>
      <c r="AG53" s="2">
        <v>1</v>
      </c>
      <c r="AH53" s="2">
        <v>0</v>
      </c>
      <c r="AI53" s="2">
        <v>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</v>
      </c>
      <c r="AR53" s="2">
        <v>0</v>
      </c>
      <c r="AS53" s="2">
        <v>0</v>
      </c>
      <c r="AT53" s="2">
        <v>0</v>
      </c>
      <c r="AU53" s="2">
        <v>1</v>
      </c>
      <c r="AV53" s="2">
        <v>0</v>
      </c>
      <c r="AW53" s="2">
        <v>1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>
        <v>1</v>
      </c>
      <c r="BV53" s="2">
        <v>0</v>
      </c>
      <c r="BW53" s="2">
        <v>0</v>
      </c>
      <c r="BX53" s="2">
        <v>0</v>
      </c>
      <c r="BY53" s="2">
        <v>0</v>
      </c>
      <c r="BZ53" s="2">
        <v>1</v>
      </c>
      <c r="CA53" s="2">
        <v>1</v>
      </c>
      <c r="CB53" s="2">
        <v>0</v>
      </c>
      <c r="CC53" s="2">
        <v>0</v>
      </c>
      <c r="CD53" s="2">
        <v>0</v>
      </c>
      <c r="CE53" s="2">
        <v>0</v>
      </c>
      <c r="CF53" s="2">
        <v>1</v>
      </c>
      <c r="CG53" s="2">
        <v>0</v>
      </c>
      <c r="CH53" s="2">
        <v>0</v>
      </c>
      <c r="CI53" s="2">
        <v>1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/>
      <c r="CR53" s="2"/>
      <c r="CS53" s="2"/>
      <c r="CT53" s="2"/>
      <c r="CU53" s="2"/>
      <c r="CV53" s="2"/>
      <c r="CW53" s="2"/>
      <c r="CX53" s="2"/>
    </row>
    <row r="54" ht="46" customHeight="1" spans="1:102">
      <c r="A54" s="2" t="s">
        <v>378</v>
      </c>
      <c r="B54" s="2">
        <v>54</v>
      </c>
      <c r="C54" s="2" t="s">
        <v>316</v>
      </c>
      <c r="D54" s="2">
        <v>1</v>
      </c>
      <c r="E54" s="2">
        <v>0</v>
      </c>
      <c r="F54" s="2">
        <v>150</v>
      </c>
      <c r="G54" s="2" t="s">
        <v>7</v>
      </c>
      <c r="H54" s="2" t="s">
        <v>23</v>
      </c>
      <c r="I54" s="2" t="s">
        <v>27</v>
      </c>
      <c r="J54" s="2" t="s">
        <v>37</v>
      </c>
      <c r="K54" s="2" t="s">
        <v>42</v>
      </c>
      <c r="L54" s="2">
        <v>1</v>
      </c>
      <c r="M54" s="2" t="s">
        <v>43</v>
      </c>
      <c r="N54" s="2" t="s">
        <v>287</v>
      </c>
      <c r="O54" s="2">
        <v>0</v>
      </c>
      <c r="P54" s="2" t="s">
        <v>321</v>
      </c>
      <c r="Q54" s="2">
        <v>1</v>
      </c>
      <c r="R54" s="2">
        <v>0</v>
      </c>
      <c r="S54" s="2">
        <v>1</v>
      </c>
      <c r="T54" s="2">
        <v>1</v>
      </c>
      <c r="U54" s="2">
        <v>1</v>
      </c>
      <c r="V54" s="2" t="s">
        <v>293</v>
      </c>
      <c r="W54" s="2" t="s">
        <v>319</v>
      </c>
      <c r="X54" s="2" t="s">
        <v>84</v>
      </c>
      <c r="Y54" s="2">
        <v>1</v>
      </c>
      <c r="Z54" s="2">
        <v>0</v>
      </c>
      <c r="AA54" s="2">
        <v>1</v>
      </c>
      <c r="AB54" s="2">
        <v>0</v>
      </c>
      <c r="AC54" s="2">
        <v>0</v>
      </c>
      <c r="AD54" s="2">
        <v>1</v>
      </c>
      <c r="AE54" s="2">
        <v>0</v>
      </c>
      <c r="AF54" s="2">
        <v>0</v>
      </c>
      <c r="AG54" s="2">
        <v>1</v>
      </c>
      <c r="AH54" s="2">
        <v>0</v>
      </c>
      <c r="AI54" s="2">
        <v>1</v>
      </c>
      <c r="AJ54" s="2">
        <v>0</v>
      </c>
      <c r="AK54" s="2">
        <v>1</v>
      </c>
      <c r="AL54" s="2">
        <v>0</v>
      </c>
      <c r="AM54" s="2">
        <v>0</v>
      </c>
      <c r="AN54" s="2">
        <v>0</v>
      </c>
      <c r="AO54" s="2">
        <v>0</v>
      </c>
      <c r="AP54" s="2">
        <v>1</v>
      </c>
      <c r="AQ54" s="2">
        <v>1</v>
      </c>
      <c r="AR54" s="2">
        <v>0</v>
      </c>
      <c r="AS54" s="2">
        <v>0</v>
      </c>
      <c r="AT54" s="2">
        <v>0</v>
      </c>
      <c r="AU54" s="2">
        <v>1</v>
      </c>
      <c r="AV54" s="2">
        <v>1</v>
      </c>
      <c r="AW54" s="2">
        <v>0</v>
      </c>
      <c r="AX54" s="2">
        <v>1</v>
      </c>
      <c r="AY54" s="2">
        <v>1</v>
      </c>
      <c r="AZ54" s="2">
        <v>1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1</v>
      </c>
      <c r="BG54" s="2">
        <v>0</v>
      </c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>
        <v>1</v>
      </c>
      <c r="BV54" s="2">
        <v>1</v>
      </c>
      <c r="BW54" s="2">
        <v>0</v>
      </c>
      <c r="BX54" s="2">
        <v>1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</row>
    <row r="55" ht="46" customHeight="1" spans="1:102">
      <c r="A55" s="2" t="s">
        <v>379</v>
      </c>
      <c r="B55" s="2">
        <v>55</v>
      </c>
      <c r="C55" s="2" t="s">
        <v>316</v>
      </c>
      <c r="D55" s="2">
        <v>1</v>
      </c>
      <c r="E55" s="2">
        <v>0</v>
      </c>
      <c r="F55" s="2">
        <v>270</v>
      </c>
      <c r="G55" s="2" t="s">
        <v>9</v>
      </c>
      <c r="H55" s="2" t="s">
        <v>23</v>
      </c>
      <c r="I55" s="2" t="s">
        <v>28</v>
      </c>
      <c r="J55" s="2" t="s">
        <v>35</v>
      </c>
      <c r="K55" s="2" t="s">
        <v>46</v>
      </c>
      <c r="L55" s="2">
        <v>0</v>
      </c>
      <c r="M55" s="2" t="s">
        <v>45</v>
      </c>
      <c r="N55" s="2" t="s">
        <v>287</v>
      </c>
      <c r="O55" s="2">
        <v>0</v>
      </c>
      <c r="P55" s="2" t="s">
        <v>380</v>
      </c>
      <c r="Q55" s="2">
        <v>1</v>
      </c>
      <c r="R55" s="2">
        <v>0</v>
      </c>
      <c r="S55" s="2">
        <v>1</v>
      </c>
      <c r="T55" s="2">
        <v>0</v>
      </c>
      <c r="U55" s="2">
        <v>1</v>
      </c>
      <c r="V55" s="2" t="s">
        <v>289</v>
      </c>
      <c r="W55" s="2" t="s">
        <v>319</v>
      </c>
      <c r="X55" s="2" t="s">
        <v>83</v>
      </c>
      <c r="Y55" s="2">
        <v>0</v>
      </c>
      <c r="Z55" s="2"/>
      <c r="AA55" s="2"/>
      <c r="AB55" s="2"/>
      <c r="AC55" s="2"/>
      <c r="AD55" s="2"/>
      <c r="AE55" s="2"/>
      <c r="AF55" s="2"/>
      <c r="AG55" s="2">
        <v>0</v>
      </c>
      <c r="AH55" s="2"/>
      <c r="AI55" s="2"/>
      <c r="AJ55" s="2"/>
      <c r="AK55" s="2"/>
      <c r="AL55" s="2"/>
      <c r="AM55" s="2"/>
      <c r="AN55" s="2"/>
      <c r="AO55" s="2"/>
      <c r="AP55" s="2"/>
      <c r="AQ55" s="2">
        <v>0</v>
      </c>
      <c r="AR55" s="2"/>
      <c r="AS55" s="2"/>
      <c r="AT55" s="2"/>
      <c r="AU55" s="2"/>
      <c r="AV55" s="2"/>
      <c r="AW55" s="2"/>
      <c r="AX55" s="2">
        <v>1</v>
      </c>
      <c r="AY55" s="2">
        <v>1</v>
      </c>
      <c r="AZ55" s="2">
        <v>0</v>
      </c>
      <c r="BA55" s="2">
        <v>1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>
        <v>0</v>
      </c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>
        <v>1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1</v>
      </c>
      <c r="CO55" s="2">
        <v>0</v>
      </c>
      <c r="CP55" s="2">
        <v>0</v>
      </c>
      <c r="CQ55" s="2"/>
      <c r="CR55" s="2"/>
      <c r="CS55" s="2"/>
      <c r="CT55" s="2"/>
      <c r="CU55" s="2"/>
      <c r="CV55" s="2"/>
      <c r="CW55" s="2"/>
      <c r="CX55" s="2"/>
    </row>
    <row r="56" ht="46" customHeight="1" spans="1:102">
      <c r="A56" s="2" t="s">
        <v>381</v>
      </c>
      <c r="B56" s="2">
        <v>56</v>
      </c>
      <c r="C56" s="2" t="s">
        <v>286</v>
      </c>
      <c r="D56" s="2">
        <v>1</v>
      </c>
      <c r="E56" s="2">
        <v>1</v>
      </c>
      <c r="F56" s="2">
        <v>259</v>
      </c>
      <c r="G56" s="2" t="s">
        <v>9</v>
      </c>
      <c r="H56" s="2" t="s">
        <v>25</v>
      </c>
      <c r="I56" s="2" t="s">
        <v>30</v>
      </c>
      <c r="J56" s="2" t="s">
        <v>37</v>
      </c>
      <c r="K56" s="2" t="s">
        <v>46</v>
      </c>
      <c r="L56" s="2">
        <v>0</v>
      </c>
      <c r="M56" s="2" t="s">
        <v>43</v>
      </c>
      <c r="N56" s="2" t="s">
        <v>86</v>
      </c>
      <c r="O56" s="2">
        <v>0</v>
      </c>
      <c r="P56" s="2" t="s">
        <v>323</v>
      </c>
      <c r="Q56" s="2">
        <v>0</v>
      </c>
      <c r="R56" s="2">
        <v>0</v>
      </c>
      <c r="S56" s="2">
        <v>1</v>
      </c>
      <c r="T56" s="2">
        <v>0</v>
      </c>
      <c r="U56" s="2">
        <v>0</v>
      </c>
      <c r="V56" s="2" t="s">
        <v>324</v>
      </c>
      <c r="W56" s="2" t="s">
        <v>325</v>
      </c>
      <c r="X56" s="2" t="s">
        <v>86</v>
      </c>
      <c r="Y56" s="2">
        <v>0</v>
      </c>
      <c r="Z56" s="2"/>
      <c r="AA56" s="2"/>
      <c r="AB56" s="2"/>
      <c r="AC56" s="2"/>
      <c r="AD56" s="2"/>
      <c r="AE56" s="2"/>
      <c r="AF56" s="2"/>
      <c r="AG56" s="2">
        <v>0</v>
      </c>
      <c r="AH56" s="2"/>
      <c r="AI56" s="2"/>
      <c r="AJ56" s="2"/>
      <c r="AK56" s="2"/>
      <c r="AL56" s="2"/>
      <c r="AM56" s="2"/>
      <c r="AN56" s="2"/>
      <c r="AO56" s="2"/>
      <c r="AP56" s="2"/>
      <c r="AQ56" s="2">
        <v>1</v>
      </c>
      <c r="AR56" s="2">
        <v>0</v>
      </c>
      <c r="AS56" s="2">
        <v>0</v>
      </c>
      <c r="AT56" s="2">
        <v>0</v>
      </c>
      <c r="AU56" s="2">
        <v>0</v>
      </c>
      <c r="AV56" s="2">
        <v>1</v>
      </c>
      <c r="AW56" s="2">
        <v>0</v>
      </c>
      <c r="AX56" s="2">
        <v>0</v>
      </c>
      <c r="AY56" s="2"/>
      <c r="AZ56" s="2"/>
      <c r="BA56" s="2"/>
      <c r="BB56" s="2"/>
      <c r="BC56" s="2"/>
      <c r="BD56" s="2"/>
      <c r="BE56" s="2"/>
      <c r="BF56" s="2"/>
      <c r="BG56" s="2">
        <v>0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>
        <v>1</v>
      </c>
      <c r="BV56" s="2">
        <v>1</v>
      </c>
      <c r="BW56" s="2">
        <v>0</v>
      </c>
      <c r="BX56" s="2">
        <v>1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1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1</v>
      </c>
      <c r="CO56" s="2">
        <v>0</v>
      </c>
      <c r="CP56" s="2">
        <v>0</v>
      </c>
      <c r="CQ56" s="2"/>
      <c r="CR56" s="2"/>
      <c r="CS56" s="2"/>
      <c r="CT56" s="2"/>
      <c r="CU56" s="2"/>
      <c r="CV56" s="2"/>
      <c r="CW56" s="2"/>
      <c r="CX56" s="2"/>
    </row>
    <row r="57" ht="46" customHeight="1" spans="1:102">
      <c r="A57" s="2" t="s">
        <v>382</v>
      </c>
      <c r="B57" s="2">
        <v>57</v>
      </c>
      <c r="C57" s="2" t="s">
        <v>316</v>
      </c>
      <c r="D57" s="2">
        <v>1</v>
      </c>
      <c r="E57" s="2">
        <v>0</v>
      </c>
      <c r="F57" s="2">
        <v>232</v>
      </c>
      <c r="G57" s="2" t="s">
        <v>9</v>
      </c>
      <c r="H57" s="2" t="s">
        <v>23</v>
      </c>
      <c r="I57" s="2" t="s">
        <v>27</v>
      </c>
      <c r="J57" s="2" t="s">
        <v>36</v>
      </c>
      <c r="K57" s="2" t="s">
        <v>46</v>
      </c>
      <c r="L57" s="2">
        <v>0</v>
      </c>
      <c r="M57" s="2" t="s">
        <v>45</v>
      </c>
      <c r="N57" s="2" t="s">
        <v>287</v>
      </c>
      <c r="O57" s="2">
        <v>0</v>
      </c>
      <c r="P57" s="2" t="s">
        <v>321</v>
      </c>
      <c r="Q57" s="2">
        <v>1</v>
      </c>
      <c r="R57" s="2">
        <v>0</v>
      </c>
      <c r="S57" s="2">
        <v>1</v>
      </c>
      <c r="T57" s="2">
        <v>1</v>
      </c>
      <c r="U57" s="2">
        <v>1</v>
      </c>
      <c r="V57" s="2" t="s">
        <v>293</v>
      </c>
      <c r="W57" s="2" t="s">
        <v>319</v>
      </c>
      <c r="X57" s="2" t="s">
        <v>84</v>
      </c>
      <c r="Y57" s="2">
        <v>0</v>
      </c>
      <c r="Z57" s="2"/>
      <c r="AA57" s="2"/>
      <c r="AB57" s="2"/>
      <c r="AC57" s="2"/>
      <c r="AD57" s="2"/>
      <c r="AE57" s="2"/>
      <c r="AF57" s="2"/>
      <c r="AG57" s="2">
        <v>0</v>
      </c>
      <c r="AH57" s="2"/>
      <c r="AI57" s="2"/>
      <c r="AJ57" s="2"/>
      <c r="AK57" s="2"/>
      <c r="AL57" s="2"/>
      <c r="AM57" s="2"/>
      <c r="AN57" s="2"/>
      <c r="AO57" s="2"/>
      <c r="AP57" s="2"/>
      <c r="AQ57" s="2">
        <v>0</v>
      </c>
      <c r="AR57" s="2"/>
      <c r="AS57" s="2"/>
      <c r="AT57" s="2"/>
      <c r="AU57" s="2"/>
      <c r="AV57" s="2"/>
      <c r="AW57" s="2"/>
      <c r="AX57" s="2">
        <v>1</v>
      </c>
      <c r="AY57" s="2">
        <v>0</v>
      </c>
      <c r="AZ57" s="2">
        <v>0</v>
      </c>
      <c r="BA57" s="2">
        <v>1</v>
      </c>
      <c r="BB57" s="2">
        <v>0</v>
      </c>
      <c r="BC57" s="2">
        <v>0</v>
      </c>
      <c r="BD57" s="2">
        <v>0</v>
      </c>
      <c r="BE57" s="2">
        <v>0</v>
      </c>
      <c r="BF57" s="2">
        <v>1</v>
      </c>
      <c r="BG57" s="2">
        <v>0</v>
      </c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>
        <v>1</v>
      </c>
      <c r="BV57" s="2">
        <v>0</v>
      </c>
      <c r="BW57" s="2">
        <v>1</v>
      </c>
      <c r="BX57" s="2">
        <v>1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</row>
    <row r="58" ht="46" customHeight="1" spans="1:102">
      <c r="A58" s="2" t="s">
        <v>383</v>
      </c>
      <c r="B58" s="2">
        <v>58</v>
      </c>
      <c r="C58" s="2" t="s">
        <v>286</v>
      </c>
      <c r="D58" s="2">
        <v>1</v>
      </c>
      <c r="E58" s="2">
        <v>1</v>
      </c>
      <c r="F58" s="2">
        <v>2796</v>
      </c>
      <c r="G58" s="2" t="s">
        <v>13</v>
      </c>
      <c r="H58" s="2" t="s">
        <v>24</v>
      </c>
      <c r="I58" s="2" t="s">
        <v>28</v>
      </c>
      <c r="J58" s="2" t="s">
        <v>37</v>
      </c>
      <c r="K58" s="2" t="s">
        <v>48</v>
      </c>
      <c r="L58" s="2">
        <v>1</v>
      </c>
      <c r="M58" s="2" t="s">
        <v>45</v>
      </c>
      <c r="N58" s="2" t="s">
        <v>287</v>
      </c>
      <c r="O58" s="2">
        <v>0</v>
      </c>
      <c r="P58" s="2" t="s">
        <v>384</v>
      </c>
      <c r="Q58" s="2">
        <v>0</v>
      </c>
      <c r="R58" s="2">
        <v>1</v>
      </c>
      <c r="S58" s="2">
        <v>0</v>
      </c>
      <c r="T58" s="2">
        <v>1</v>
      </c>
      <c r="U58" s="2">
        <v>0</v>
      </c>
      <c r="V58" s="2" t="s">
        <v>289</v>
      </c>
      <c r="W58" s="2" t="s">
        <v>302</v>
      </c>
      <c r="X58" s="2" t="s">
        <v>83</v>
      </c>
      <c r="Y58" s="2">
        <v>1</v>
      </c>
      <c r="Z58" s="2">
        <v>1</v>
      </c>
      <c r="AA58" s="2">
        <v>0</v>
      </c>
      <c r="AB58" s="2">
        <v>0</v>
      </c>
      <c r="AC58" s="2">
        <v>1</v>
      </c>
      <c r="AD58" s="2">
        <v>1</v>
      </c>
      <c r="AE58" s="2">
        <v>1</v>
      </c>
      <c r="AF58" s="2">
        <v>0</v>
      </c>
      <c r="AG58" s="2">
        <v>1</v>
      </c>
      <c r="AH58" s="2">
        <v>1</v>
      </c>
      <c r="AI58" s="2">
        <v>1</v>
      </c>
      <c r="AJ58" s="2">
        <v>0</v>
      </c>
      <c r="AK58" s="2">
        <v>1</v>
      </c>
      <c r="AL58" s="2">
        <v>0</v>
      </c>
      <c r="AM58" s="2">
        <v>0</v>
      </c>
      <c r="AN58" s="2">
        <v>1</v>
      </c>
      <c r="AO58" s="2">
        <v>0</v>
      </c>
      <c r="AP58" s="2">
        <v>1</v>
      </c>
      <c r="AQ58" s="2">
        <v>0</v>
      </c>
      <c r="AR58" s="2"/>
      <c r="AS58" s="2"/>
      <c r="AT58" s="2"/>
      <c r="AU58" s="2"/>
      <c r="AV58" s="2"/>
      <c r="AW58" s="2"/>
      <c r="AX58" s="2">
        <v>1</v>
      </c>
      <c r="AY58" s="2">
        <v>1</v>
      </c>
      <c r="AZ58" s="2">
        <v>1</v>
      </c>
      <c r="BA58" s="2">
        <v>0</v>
      </c>
      <c r="BB58" s="2">
        <v>0</v>
      </c>
      <c r="BC58" s="2">
        <v>0</v>
      </c>
      <c r="BD58" s="2">
        <v>1</v>
      </c>
      <c r="BE58" s="2">
        <v>0</v>
      </c>
      <c r="BF58" s="2">
        <v>1</v>
      </c>
      <c r="BG58" s="2">
        <v>1</v>
      </c>
      <c r="BH58" s="2">
        <v>1</v>
      </c>
      <c r="BI58" s="2">
        <v>0</v>
      </c>
      <c r="BJ58" s="2">
        <v>1</v>
      </c>
      <c r="BK58" s="2">
        <v>1</v>
      </c>
      <c r="BL58" s="2">
        <v>0</v>
      </c>
      <c r="BM58" s="2">
        <v>0</v>
      </c>
      <c r="BN58" s="2">
        <v>0</v>
      </c>
      <c r="BO58" s="2">
        <v>1</v>
      </c>
      <c r="BP58" s="2">
        <v>0</v>
      </c>
      <c r="BQ58" s="2">
        <v>1</v>
      </c>
      <c r="BR58" s="2">
        <v>0</v>
      </c>
      <c r="BS58" s="2">
        <v>0</v>
      </c>
      <c r="BT58" s="2">
        <v>1</v>
      </c>
      <c r="BU58" s="2">
        <v>1</v>
      </c>
      <c r="BV58" s="2">
        <v>1</v>
      </c>
      <c r="BW58" s="2">
        <v>1</v>
      </c>
      <c r="BX58" s="2">
        <v>1</v>
      </c>
      <c r="BY58" s="2">
        <v>0</v>
      </c>
      <c r="BZ58" s="2">
        <v>0</v>
      </c>
      <c r="CA58" s="2">
        <v>0</v>
      </c>
      <c r="CB58" s="2">
        <v>1</v>
      </c>
      <c r="CC58" s="2">
        <v>1</v>
      </c>
      <c r="CD58" s="2">
        <v>1</v>
      </c>
      <c r="CE58" s="2">
        <v>0</v>
      </c>
      <c r="CF58" s="2">
        <v>0</v>
      </c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>
        <v>4</v>
      </c>
      <c r="CR58" s="2" t="s">
        <v>145</v>
      </c>
      <c r="CS58" s="2">
        <v>5</v>
      </c>
      <c r="CT58" s="2" t="s">
        <v>146</v>
      </c>
      <c r="CU58" s="2">
        <v>4</v>
      </c>
      <c r="CV58" s="2" t="s">
        <v>145</v>
      </c>
      <c r="CW58" s="2">
        <v>3</v>
      </c>
      <c r="CX58" s="2" t="s">
        <v>47</v>
      </c>
    </row>
    <row r="59" ht="46" customHeight="1" spans="1:102">
      <c r="A59" s="2" t="s">
        <v>385</v>
      </c>
      <c r="B59" s="2">
        <v>59</v>
      </c>
      <c r="C59" s="2" t="s">
        <v>286</v>
      </c>
      <c r="D59" s="2">
        <v>1</v>
      </c>
      <c r="E59" s="2">
        <v>1</v>
      </c>
      <c r="F59" s="2">
        <v>265</v>
      </c>
      <c r="G59" s="2" t="s">
        <v>7</v>
      </c>
      <c r="H59" s="2" t="s">
        <v>23</v>
      </c>
      <c r="I59" s="2" t="s">
        <v>28</v>
      </c>
      <c r="J59" s="2" t="s">
        <v>33</v>
      </c>
      <c r="K59" s="2" t="s">
        <v>48</v>
      </c>
      <c r="L59" s="2">
        <v>1</v>
      </c>
      <c r="M59" s="2" t="s">
        <v>45</v>
      </c>
      <c r="N59" s="2" t="s">
        <v>86</v>
      </c>
      <c r="O59" s="2">
        <v>0</v>
      </c>
      <c r="P59" s="2" t="s">
        <v>323</v>
      </c>
      <c r="Q59" s="2">
        <v>0</v>
      </c>
      <c r="R59" s="2">
        <v>0</v>
      </c>
      <c r="S59" s="2">
        <v>1</v>
      </c>
      <c r="T59" s="2">
        <v>0</v>
      </c>
      <c r="U59" s="2">
        <v>0</v>
      </c>
      <c r="V59" s="2" t="s">
        <v>324</v>
      </c>
      <c r="W59" s="2" t="s">
        <v>325</v>
      </c>
      <c r="X59" s="2" t="s">
        <v>86</v>
      </c>
      <c r="Y59" s="2">
        <v>1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1</v>
      </c>
      <c r="AH59" s="2">
        <v>0</v>
      </c>
      <c r="AI59" s="2">
        <v>1</v>
      </c>
      <c r="AJ59" s="2">
        <v>0</v>
      </c>
      <c r="AK59" s="2">
        <v>0</v>
      </c>
      <c r="AL59" s="2">
        <v>0</v>
      </c>
      <c r="AM59" s="2">
        <v>0</v>
      </c>
      <c r="AN59" s="2">
        <v>1</v>
      </c>
      <c r="AO59" s="2">
        <v>0</v>
      </c>
      <c r="AP59" s="2">
        <v>0</v>
      </c>
      <c r="AQ59" s="2">
        <v>0</v>
      </c>
      <c r="AR59" s="2"/>
      <c r="AS59" s="2"/>
      <c r="AT59" s="2"/>
      <c r="AU59" s="2"/>
      <c r="AV59" s="2"/>
      <c r="AW59" s="2"/>
      <c r="AX59" s="2">
        <v>0</v>
      </c>
      <c r="AY59" s="2"/>
      <c r="AZ59" s="2"/>
      <c r="BA59" s="2"/>
      <c r="BB59" s="2"/>
      <c r="BC59" s="2"/>
      <c r="BD59" s="2"/>
      <c r="BE59" s="2"/>
      <c r="BF59" s="2"/>
      <c r="BG59" s="2">
        <v>0</v>
      </c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>
        <v>1</v>
      </c>
      <c r="BV59" s="2">
        <v>1</v>
      </c>
      <c r="BW59" s="2">
        <v>0</v>
      </c>
      <c r="BX59" s="2">
        <v>1</v>
      </c>
      <c r="BY59" s="2">
        <v>0</v>
      </c>
      <c r="BZ59" s="2">
        <v>1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1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1</v>
      </c>
      <c r="CP59" s="2">
        <v>0</v>
      </c>
      <c r="CQ59" s="2"/>
      <c r="CR59" s="2"/>
      <c r="CS59" s="2"/>
      <c r="CT59" s="2"/>
      <c r="CU59" s="2"/>
      <c r="CV59" s="2"/>
      <c r="CW59" s="2"/>
      <c r="CX59" s="2"/>
    </row>
    <row r="60" ht="46" customHeight="1" spans="1:102">
      <c r="A60" s="2" t="s">
        <v>386</v>
      </c>
      <c r="B60" s="2">
        <v>60</v>
      </c>
      <c r="C60" s="2" t="s">
        <v>286</v>
      </c>
      <c r="D60" s="2">
        <v>1</v>
      </c>
      <c r="E60" s="2">
        <v>1</v>
      </c>
      <c r="F60" s="2">
        <v>271</v>
      </c>
      <c r="G60" s="2" t="s">
        <v>7</v>
      </c>
      <c r="H60" s="2" t="s">
        <v>23</v>
      </c>
      <c r="I60" s="2" t="s">
        <v>28</v>
      </c>
      <c r="J60" s="2" t="s">
        <v>37</v>
      </c>
      <c r="K60" s="2" t="s">
        <v>46</v>
      </c>
      <c r="L60" s="2">
        <v>0</v>
      </c>
      <c r="M60" s="2" t="s">
        <v>43</v>
      </c>
      <c r="N60" s="2" t="s">
        <v>85</v>
      </c>
      <c r="O60" s="2">
        <v>1</v>
      </c>
      <c r="P60" s="2" t="s">
        <v>331</v>
      </c>
      <c r="Q60" s="2">
        <v>0</v>
      </c>
      <c r="R60" s="2">
        <v>0</v>
      </c>
      <c r="S60" s="2">
        <v>1</v>
      </c>
      <c r="T60" s="2">
        <v>1</v>
      </c>
      <c r="U60" s="2">
        <v>0</v>
      </c>
      <c r="V60" s="2" t="s">
        <v>324</v>
      </c>
      <c r="W60" s="2" t="s">
        <v>325</v>
      </c>
      <c r="X60" s="2" t="s">
        <v>85</v>
      </c>
      <c r="Y60" s="2">
        <v>0</v>
      </c>
      <c r="Z60" s="2"/>
      <c r="AA60" s="2"/>
      <c r="AB60" s="2"/>
      <c r="AC60" s="2"/>
      <c r="AD60" s="2"/>
      <c r="AE60" s="2"/>
      <c r="AF60" s="2"/>
      <c r="AG60" s="2">
        <v>0</v>
      </c>
      <c r="AH60" s="2"/>
      <c r="AI60" s="2"/>
      <c r="AJ60" s="2"/>
      <c r="AK60" s="2"/>
      <c r="AL60" s="2"/>
      <c r="AM60" s="2"/>
      <c r="AN60" s="2"/>
      <c r="AO60" s="2"/>
      <c r="AP60" s="2"/>
      <c r="AQ60" s="2">
        <v>0</v>
      </c>
      <c r="AR60" s="2"/>
      <c r="AS60" s="2"/>
      <c r="AT60" s="2"/>
      <c r="AU60" s="2"/>
      <c r="AV60" s="2"/>
      <c r="AW60" s="2"/>
      <c r="AX60" s="2">
        <v>0</v>
      </c>
      <c r="AY60" s="2"/>
      <c r="AZ60" s="2"/>
      <c r="BA60" s="2"/>
      <c r="BB60" s="2"/>
      <c r="BC60" s="2"/>
      <c r="BD60" s="2"/>
      <c r="BE60" s="2"/>
      <c r="BF60" s="2"/>
      <c r="BG60" s="2">
        <v>0</v>
      </c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>
        <v>1</v>
      </c>
      <c r="BV60" s="2">
        <v>0</v>
      </c>
      <c r="BW60" s="2">
        <v>1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</row>
    <row r="61" ht="46" customHeight="1" spans="1:102">
      <c r="A61" s="2" t="s">
        <v>387</v>
      </c>
      <c r="B61" s="2">
        <v>61</v>
      </c>
      <c r="C61" s="2" t="s">
        <v>316</v>
      </c>
      <c r="D61" s="2">
        <v>1</v>
      </c>
      <c r="E61" s="2">
        <v>0</v>
      </c>
      <c r="F61" s="2">
        <v>128</v>
      </c>
      <c r="G61" s="2" t="s">
        <v>9</v>
      </c>
      <c r="H61" s="2" t="s">
        <v>23</v>
      </c>
      <c r="I61" s="2" t="s">
        <v>28</v>
      </c>
      <c r="J61" s="2" t="s">
        <v>38</v>
      </c>
      <c r="K61" s="2" t="s">
        <v>46</v>
      </c>
      <c r="L61" s="2">
        <v>0</v>
      </c>
      <c r="M61" s="2" t="s">
        <v>43</v>
      </c>
      <c r="N61" s="2" t="s">
        <v>85</v>
      </c>
      <c r="O61" s="2">
        <v>0</v>
      </c>
      <c r="P61" s="2" t="s">
        <v>321</v>
      </c>
      <c r="Q61" s="2">
        <v>1</v>
      </c>
      <c r="R61" s="2">
        <v>0</v>
      </c>
      <c r="S61" s="2">
        <v>1</v>
      </c>
      <c r="T61" s="2">
        <v>1</v>
      </c>
      <c r="U61" s="2">
        <v>1</v>
      </c>
      <c r="V61" s="2" t="s">
        <v>293</v>
      </c>
      <c r="W61" s="2" t="s">
        <v>299</v>
      </c>
      <c r="X61" s="2" t="s">
        <v>85</v>
      </c>
      <c r="Y61" s="2">
        <v>0</v>
      </c>
      <c r="Z61" s="2"/>
      <c r="AA61" s="2"/>
      <c r="AB61" s="2"/>
      <c r="AC61" s="2"/>
      <c r="AD61" s="2"/>
      <c r="AE61" s="2"/>
      <c r="AF61" s="2"/>
      <c r="AG61" s="2">
        <v>0</v>
      </c>
      <c r="AH61" s="2"/>
      <c r="AI61" s="2"/>
      <c r="AJ61" s="2"/>
      <c r="AK61" s="2"/>
      <c r="AL61" s="2"/>
      <c r="AM61" s="2"/>
      <c r="AN61" s="2"/>
      <c r="AO61" s="2"/>
      <c r="AP61" s="2"/>
      <c r="AQ61" s="2">
        <v>1</v>
      </c>
      <c r="AR61" s="2">
        <v>1</v>
      </c>
      <c r="AS61" s="2">
        <v>0</v>
      </c>
      <c r="AT61" s="2">
        <v>0</v>
      </c>
      <c r="AU61" s="2">
        <v>1</v>
      </c>
      <c r="AV61" s="2">
        <v>1</v>
      </c>
      <c r="AW61" s="2">
        <v>0</v>
      </c>
      <c r="AX61" s="2">
        <v>0</v>
      </c>
      <c r="AY61" s="2"/>
      <c r="AZ61" s="2"/>
      <c r="BA61" s="2"/>
      <c r="BB61" s="2"/>
      <c r="BC61" s="2"/>
      <c r="BD61" s="2"/>
      <c r="BE61" s="2"/>
      <c r="BF61" s="2"/>
      <c r="BG61" s="2">
        <v>0</v>
      </c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>
        <v>1</v>
      </c>
      <c r="BV61" s="2">
        <v>0</v>
      </c>
      <c r="BW61" s="2">
        <v>0</v>
      </c>
      <c r="BX61" s="2">
        <v>1</v>
      </c>
      <c r="BY61" s="2">
        <v>0</v>
      </c>
      <c r="BZ61" s="2">
        <v>1</v>
      </c>
      <c r="CA61" s="2">
        <v>0</v>
      </c>
      <c r="CB61" s="2">
        <v>0</v>
      </c>
      <c r="CC61" s="2">
        <v>1</v>
      </c>
      <c r="CD61" s="2">
        <v>0</v>
      </c>
      <c r="CE61" s="2">
        <v>0</v>
      </c>
      <c r="CF61" s="2">
        <v>0</v>
      </c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</row>
    <row r="62" ht="46" customHeight="1" spans="1:102">
      <c r="A62" s="2" t="s">
        <v>388</v>
      </c>
      <c r="B62" s="2">
        <v>62</v>
      </c>
      <c r="C62" s="2" t="s">
        <v>286</v>
      </c>
      <c r="D62" s="2">
        <v>1</v>
      </c>
      <c r="E62" s="2">
        <v>1</v>
      </c>
      <c r="F62" s="2">
        <v>141</v>
      </c>
      <c r="G62" s="2" t="s">
        <v>7</v>
      </c>
      <c r="H62" s="2" t="s">
        <v>24</v>
      </c>
      <c r="I62" s="2" t="s">
        <v>28</v>
      </c>
      <c r="J62" s="2" t="s">
        <v>36</v>
      </c>
      <c r="K62" s="2" t="s">
        <v>42</v>
      </c>
      <c r="L62" s="2">
        <v>1</v>
      </c>
      <c r="M62" s="2" t="s">
        <v>45</v>
      </c>
      <c r="N62" s="2" t="s">
        <v>86</v>
      </c>
      <c r="O62" s="2">
        <v>0</v>
      </c>
      <c r="P62" s="2" t="s">
        <v>323</v>
      </c>
      <c r="Q62" s="2">
        <v>0</v>
      </c>
      <c r="R62" s="2">
        <v>0</v>
      </c>
      <c r="S62" s="2">
        <v>1</v>
      </c>
      <c r="T62" s="2">
        <v>0</v>
      </c>
      <c r="U62" s="2">
        <v>0</v>
      </c>
      <c r="V62" s="2" t="s">
        <v>324</v>
      </c>
      <c r="W62" s="2" t="s">
        <v>325</v>
      </c>
      <c r="X62" s="2" t="s">
        <v>86</v>
      </c>
      <c r="Y62" s="2">
        <v>1</v>
      </c>
      <c r="Z62" s="2">
        <v>1</v>
      </c>
      <c r="AA62" s="2">
        <v>0</v>
      </c>
      <c r="AB62" s="2">
        <v>0</v>
      </c>
      <c r="AC62" s="2">
        <v>1</v>
      </c>
      <c r="AD62" s="2">
        <v>1</v>
      </c>
      <c r="AE62" s="2">
        <v>0</v>
      </c>
      <c r="AF62" s="2">
        <v>0</v>
      </c>
      <c r="AG62" s="2">
        <v>1</v>
      </c>
      <c r="AH62" s="2">
        <v>0</v>
      </c>
      <c r="AI62" s="2">
        <v>1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/>
      <c r="AS62" s="2"/>
      <c r="AT62" s="2"/>
      <c r="AU62" s="2"/>
      <c r="AV62" s="2"/>
      <c r="AW62" s="2"/>
      <c r="AX62" s="2">
        <v>0</v>
      </c>
      <c r="AY62" s="2"/>
      <c r="AZ62" s="2"/>
      <c r="BA62" s="2"/>
      <c r="BB62" s="2"/>
      <c r="BC62" s="2"/>
      <c r="BD62" s="2"/>
      <c r="BE62" s="2"/>
      <c r="BF62" s="2"/>
      <c r="BG62" s="2">
        <v>0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>
        <v>1</v>
      </c>
      <c r="BV62" s="2">
        <v>1</v>
      </c>
      <c r="BW62" s="2">
        <v>0</v>
      </c>
      <c r="BX62" s="2">
        <v>0</v>
      </c>
      <c r="BY62" s="2">
        <v>0</v>
      </c>
      <c r="BZ62" s="2">
        <v>1</v>
      </c>
      <c r="CA62" s="2">
        <v>0</v>
      </c>
      <c r="CB62" s="2">
        <v>0</v>
      </c>
      <c r="CC62" s="2">
        <v>0</v>
      </c>
      <c r="CD62" s="2">
        <v>1</v>
      </c>
      <c r="CE62" s="2">
        <v>0</v>
      </c>
      <c r="CF62" s="2">
        <v>1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1</v>
      </c>
      <c r="CN62" s="2">
        <v>0</v>
      </c>
      <c r="CO62" s="2">
        <v>0</v>
      </c>
      <c r="CP62" s="2">
        <v>0</v>
      </c>
      <c r="CQ62" s="2"/>
      <c r="CR62" s="2"/>
      <c r="CS62" s="2"/>
      <c r="CT62" s="2"/>
      <c r="CU62" s="2"/>
      <c r="CV62" s="2"/>
      <c r="CW62" s="2"/>
      <c r="CX62" s="2"/>
    </row>
    <row r="63" ht="46" customHeight="1" spans="1:102">
      <c r="A63" s="2" t="s">
        <v>389</v>
      </c>
      <c r="B63" s="2">
        <v>63</v>
      </c>
      <c r="C63" s="2" t="s">
        <v>286</v>
      </c>
      <c r="D63" s="2">
        <v>1</v>
      </c>
      <c r="E63" s="2">
        <v>1</v>
      </c>
      <c r="F63" s="2">
        <v>148</v>
      </c>
      <c r="G63" s="2" t="s">
        <v>9</v>
      </c>
      <c r="H63" s="2" t="s">
        <v>24</v>
      </c>
      <c r="I63" s="2" t="s">
        <v>28</v>
      </c>
      <c r="J63" s="2" t="s">
        <v>35</v>
      </c>
      <c r="K63" s="2" t="s">
        <v>46</v>
      </c>
      <c r="L63" s="2">
        <v>0</v>
      </c>
      <c r="M63" s="2" t="s">
        <v>43</v>
      </c>
      <c r="N63" s="2" t="s">
        <v>86</v>
      </c>
      <c r="O63" s="2">
        <v>0</v>
      </c>
      <c r="P63" s="2" t="s">
        <v>323</v>
      </c>
      <c r="Q63" s="2">
        <v>0</v>
      </c>
      <c r="R63" s="2">
        <v>0</v>
      </c>
      <c r="S63" s="2">
        <v>1</v>
      </c>
      <c r="T63" s="2">
        <v>0</v>
      </c>
      <c r="U63" s="2">
        <v>0</v>
      </c>
      <c r="V63" s="2" t="s">
        <v>324</v>
      </c>
      <c r="W63" s="2" t="s">
        <v>325</v>
      </c>
      <c r="X63" s="2" t="s">
        <v>86</v>
      </c>
      <c r="Y63" s="2">
        <v>0</v>
      </c>
      <c r="Z63" s="2"/>
      <c r="AA63" s="2"/>
      <c r="AB63" s="2"/>
      <c r="AC63" s="2"/>
      <c r="AD63" s="2"/>
      <c r="AE63" s="2"/>
      <c r="AF63" s="2"/>
      <c r="AG63" s="2">
        <v>0</v>
      </c>
      <c r="AH63" s="2"/>
      <c r="AI63" s="2"/>
      <c r="AJ63" s="2"/>
      <c r="AK63" s="2"/>
      <c r="AL63" s="2"/>
      <c r="AM63" s="2"/>
      <c r="AN63" s="2"/>
      <c r="AO63" s="2"/>
      <c r="AP63" s="2"/>
      <c r="AQ63" s="2">
        <v>1</v>
      </c>
      <c r="AR63" s="2">
        <v>0</v>
      </c>
      <c r="AS63" s="2">
        <v>0</v>
      </c>
      <c r="AT63" s="2">
        <v>0</v>
      </c>
      <c r="AU63" s="2">
        <v>0</v>
      </c>
      <c r="AV63" s="2">
        <v>1</v>
      </c>
      <c r="AW63" s="2">
        <v>0</v>
      </c>
      <c r="AX63" s="2">
        <v>0</v>
      </c>
      <c r="AY63" s="2"/>
      <c r="AZ63" s="2"/>
      <c r="BA63" s="2"/>
      <c r="BB63" s="2"/>
      <c r="BC63" s="2"/>
      <c r="BD63" s="2"/>
      <c r="BE63" s="2"/>
      <c r="BF63" s="2"/>
      <c r="BG63" s="2">
        <v>0</v>
      </c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>
        <v>1</v>
      </c>
      <c r="BV63" s="2">
        <v>0</v>
      </c>
      <c r="BW63" s="2">
        <v>0</v>
      </c>
      <c r="BX63" s="2">
        <v>1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1</v>
      </c>
      <c r="CG63" s="2">
        <v>0</v>
      </c>
      <c r="CH63" s="2">
        <v>1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/>
      <c r="CR63" s="2"/>
      <c r="CS63" s="2"/>
      <c r="CT63" s="2"/>
      <c r="CU63" s="2"/>
      <c r="CV63" s="2"/>
      <c r="CW63" s="2"/>
      <c r="CX63" s="2"/>
    </row>
    <row r="64" ht="46" customHeight="1" spans="1:102">
      <c r="A64" s="2" t="s">
        <v>390</v>
      </c>
      <c r="B64" s="2">
        <v>64</v>
      </c>
      <c r="C64" s="2" t="s">
        <v>316</v>
      </c>
      <c r="D64" s="2">
        <v>1</v>
      </c>
      <c r="E64" s="2">
        <v>0</v>
      </c>
      <c r="F64" s="2">
        <v>288</v>
      </c>
      <c r="G64" s="2" t="s">
        <v>9</v>
      </c>
      <c r="H64" s="2" t="s">
        <v>23</v>
      </c>
      <c r="I64" s="2" t="s">
        <v>28</v>
      </c>
      <c r="J64" s="2" t="s">
        <v>35</v>
      </c>
      <c r="K64" s="2" t="s">
        <v>50</v>
      </c>
      <c r="L64" s="2">
        <v>1</v>
      </c>
      <c r="M64" s="2" t="s">
        <v>45</v>
      </c>
      <c r="N64" s="2" t="s">
        <v>287</v>
      </c>
      <c r="O64" s="2">
        <v>0</v>
      </c>
      <c r="P64" s="2" t="s">
        <v>321</v>
      </c>
      <c r="Q64" s="2">
        <v>1</v>
      </c>
      <c r="R64" s="2">
        <v>0</v>
      </c>
      <c r="S64" s="2">
        <v>1</v>
      </c>
      <c r="T64" s="2">
        <v>1</v>
      </c>
      <c r="U64" s="2">
        <v>1</v>
      </c>
      <c r="V64" s="2" t="s">
        <v>289</v>
      </c>
      <c r="W64" s="2" t="s">
        <v>290</v>
      </c>
      <c r="X64" s="2" t="s">
        <v>83</v>
      </c>
      <c r="Y64" s="2">
        <v>1</v>
      </c>
      <c r="Z64" s="2">
        <v>0</v>
      </c>
      <c r="AA64" s="2">
        <v>0</v>
      </c>
      <c r="AB64" s="2">
        <v>0</v>
      </c>
      <c r="AC64" s="2">
        <v>1</v>
      </c>
      <c r="AD64" s="2">
        <v>1</v>
      </c>
      <c r="AE64" s="2">
        <v>1</v>
      </c>
      <c r="AF64" s="2">
        <v>0</v>
      </c>
      <c r="AG64" s="2">
        <v>1</v>
      </c>
      <c r="AH64" s="2">
        <v>0</v>
      </c>
      <c r="AI64" s="2">
        <v>1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/>
      <c r="AS64" s="2"/>
      <c r="AT64" s="2"/>
      <c r="AU64" s="2"/>
      <c r="AV64" s="2"/>
      <c r="AW64" s="2"/>
      <c r="AX64" s="2">
        <v>1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1</v>
      </c>
      <c r="BG64" s="2">
        <v>0</v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>
        <v>1</v>
      </c>
      <c r="BV64" s="2">
        <v>0</v>
      </c>
      <c r="BW64" s="2">
        <v>0</v>
      </c>
      <c r="BX64" s="2">
        <v>1</v>
      </c>
      <c r="BY64" s="2">
        <v>0</v>
      </c>
      <c r="BZ64" s="2">
        <v>1</v>
      </c>
      <c r="CA64" s="2">
        <v>0</v>
      </c>
      <c r="CB64" s="2">
        <v>0</v>
      </c>
      <c r="CC64" s="2">
        <v>0</v>
      </c>
      <c r="CD64" s="2">
        <v>1</v>
      </c>
      <c r="CE64" s="2">
        <v>0</v>
      </c>
      <c r="CF64" s="2">
        <v>0</v>
      </c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</row>
    <row r="65" ht="46" customHeight="1" spans="1:102">
      <c r="A65" s="2" t="s">
        <v>391</v>
      </c>
      <c r="B65" s="2">
        <v>65</v>
      </c>
      <c r="C65" s="2" t="s">
        <v>286</v>
      </c>
      <c r="D65" s="2">
        <v>1</v>
      </c>
      <c r="E65" s="2">
        <v>1</v>
      </c>
      <c r="F65" s="2">
        <v>219</v>
      </c>
      <c r="G65" s="2" t="s">
        <v>7</v>
      </c>
      <c r="H65" s="2" t="s">
        <v>24</v>
      </c>
      <c r="I65" s="2" t="s">
        <v>27</v>
      </c>
      <c r="J65" s="2" t="s">
        <v>35</v>
      </c>
      <c r="K65" s="2" t="s">
        <v>46</v>
      </c>
      <c r="L65" s="2">
        <v>0</v>
      </c>
      <c r="M65" s="2" t="s">
        <v>43</v>
      </c>
      <c r="N65" s="2" t="s">
        <v>86</v>
      </c>
      <c r="O65" s="2">
        <v>0</v>
      </c>
      <c r="P65" s="2" t="s">
        <v>323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  <c r="V65" s="2" t="s">
        <v>324</v>
      </c>
      <c r="W65" s="2" t="s">
        <v>325</v>
      </c>
      <c r="X65" s="2" t="s">
        <v>86</v>
      </c>
      <c r="Y65" s="2">
        <v>0</v>
      </c>
      <c r="Z65" s="2"/>
      <c r="AA65" s="2"/>
      <c r="AB65" s="2"/>
      <c r="AC65" s="2"/>
      <c r="AD65" s="2"/>
      <c r="AE65" s="2"/>
      <c r="AF65" s="2"/>
      <c r="AG65" s="2">
        <v>0</v>
      </c>
      <c r="AH65" s="2"/>
      <c r="AI65" s="2"/>
      <c r="AJ65" s="2"/>
      <c r="AK65" s="2"/>
      <c r="AL65" s="2"/>
      <c r="AM65" s="2"/>
      <c r="AN65" s="2"/>
      <c r="AO65" s="2"/>
      <c r="AP65" s="2"/>
      <c r="AQ65" s="2">
        <v>1</v>
      </c>
      <c r="AR65" s="2">
        <v>0</v>
      </c>
      <c r="AS65" s="2">
        <v>0</v>
      </c>
      <c r="AT65" s="2">
        <v>0</v>
      </c>
      <c r="AU65" s="2">
        <v>0</v>
      </c>
      <c r="AV65" s="2">
        <v>1</v>
      </c>
      <c r="AW65" s="2">
        <v>0</v>
      </c>
      <c r="AX65" s="2">
        <v>0</v>
      </c>
      <c r="AY65" s="2"/>
      <c r="AZ65" s="2"/>
      <c r="BA65" s="2"/>
      <c r="BB65" s="2"/>
      <c r="BC65" s="2"/>
      <c r="BD65" s="2"/>
      <c r="BE65" s="2"/>
      <c r="BF65" s="2"/>
      <c r="BG65" s="2">
        <v>0</v>
      </c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>
        <v>1</v>
      </c>
      <c r="BV65" s="2">
        <v>0</v>
      </c>
      <c r="BW65" s="2">
        <v>0</v>
      </c>
      <c r="BX65" s="2">
        <v>1</v>
      </c>
      <c r="BY65" s="2">
        <v>0</v>
      </c>
      <c r="BZ65" s="2">
        <v>0</v>
      </c>
      <c r="CA65" s="2">
        <v>0</v>
      </c>
      <c r="CB65" s="2">
        <v>1</v>
      </c>
      <c r="CC65" s="2">
        <v>0</v>
      </c>
      <c r="CD65" s="2">
        <v>0</v>
      </c>
      <c r="CE65" s="2">
        <v>0</v>
      </c>
      <c r="CF65" s="2">
        <v>1</v>
      </c>
      <c r="CG65" s="2">
        <v>0</v>
      </c>
      <c r="CH65" s="2">
        <v>1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/>
      <c r="CR65" s="2"/>
      <c r="CS65" s="2"/>
      <c r="CT65" s="2"/>
      <c r="CU65" s="2"/>
      <c r="CV65" s="2"/>
      <c r="CW65" s="2"/>
      <c r="CX65" s="2"/>
    </row>
    <row r="66" ht="46" customHeight="1" spans="1:102">
      <c r="A66" s="2" t="s">
        <v>392</v>
      </c>
      <c r="B66" s="2">
        <v>66</v>
      </c>
      <c r="C66" s="2" t="s">
        <v>316</v>
      </c>
      <c r="D66" s="2">
        <v>1</v>
      </c>
      <c r="E66" s="2">
        <v>0</v>
      </c>
      <c r="F66" s="2">
        <v>246</v>
      </c>
      <c r="G66" s="2" t="s">
        <v>9</v>
      </c>
      <c r="H66" s="2" t="s">
        <v>24</v>
      </c>
      <c r="I66" s="2" t="s">
        <v>30</v>
      </c>
      <c r="J66" s="2" t="s">
        <v>35</v>
      </c>
      <c r="K66" s="2" t="s">
        <v>46</v>
      </c>
      <c r="L66" s="2">
        <v>0</v>
      </c>
      <c r="M66" s="2" t="s">
        <v>45</v>
      </c>
      <c r="N66" s="2" t="s">
        <v>287</v>
      </c>
      <c r="O66" s="2">
        <v>0</v>
      </c>
      <c r="P66" s="2" t="s">
        <v>321</v>
      </c>
      <c r="Q66" s="2">
        <v>1</v>
      </c>
      <c r="R66" s="2">
        <v>0</v>
      </c>
      <c r="S66" s="2">
        <v>1</v>
      </c>
      <c r="T66" s="2">
        <v>1</v>
      </c>
      <c r="U66" s="2">
        <v>1</v>
      </c>
      <c r="V66" s="2" t="s">
        <v>293</v>
      </c>
      <c r="W66" s="2" t="s">
        <v>294</v>
      </c>
      <c r="X66" s="2" t="s">
        <v>84</v>
      </c>
      <c r="Y66" s="2">
        <v>0</v>
      </c>
      <c r="Z66" s="2"/>
      <c r="AA66" s="2"/>
      <c r="AB66" s="2"/>
      <c r="AC66" s="2"/>
      <c r="AD66" s="2"/>
      <c r="AE66" s="2"/>
      <c r="AF66" s="2"/>
      <c r="AG66" s="2">
        <v>0</v>
      </c>
      <c r="AH66" s="2"/>
      <c r="AI66" s="2"/>
      <c r="AJ66" s="2"/>
      <c r="AK66" s="2"/>
      <c r="AL66" s="2"/>
      <c r="AM66" s="2"/>
      <c r="AN66" s="2"/>
      <c r="AO66" s="2"/>
      <c r="AP66" s="2"/>
      <c r="AQ66" s="2">
        <v>0</v>
      </c>
      <c r="AR66" s="2"/>
      <c r="AS66" s="2"/>
      <c r="AT66" s="2"/>
      <c r="AU66" s="2"/>
      <c r="AV66" s="2"/>
      <c r="AW66" s="2"/>
      <c r="AX66" s="2">
        <v>1</v>
      </c>
      <c r="AY66" s="2">
        <v>1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>
        <v>1</v>
      </c>
      <c r="BV66" s="2">
        <v>0</v>
      </c>
      <c r="BW66" s="2">
        <v>1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</row>
    <row r="67" ht="46" customHeight="1" spans="1:102">
      <c r="A67" s="2" t="s">
        <v>393</v>
      </c>
      <c r="B67" s="2">
        <v>67</v>
      </c>
      <c r="C67" s="2" t="s">
        <v>316</v>
      </c>
      <c r="D67" s="2">
        <v>1</v>
      </c>
      <c r="E67" s="2">
        <v>0</v>
      </c>
      <c r="F67" s="2">
        <v>166</v>
      </c>
      <c r="G67" s="2" t="s">
        <v>11</v>
      </c>
      <c r="H67" s="2" t="s">
        <v>24</v>
      </c>
      <c r="I67" s="2" t="s">
        <v>28</v>
      </c>
      <c r="J67" s="2" t="s">
        <v>35</v>
      </c>
      <c r="K67" s="2" t="s">
        <v>46</v>
      </c>
      <c r="L67" s="2">
        <v>0</v>
      </c>
      <c r="M67" s="2" t="s">
        <v>47</v>
      </c>
      <c r="N67" s="2" t="s">
        <v>287</v>
      </c>
      <c r="O67" s="2">
        <v>0</v>
      </c>
      <c r="P67" s="2" t="s">
        <v>336</v>
      </c>
      <c r="Q67" s="2">
        <v>1</v>
      </c>
      <c r="R67" s="2">
        <v>0</v>
      </c>
      <c r="S67" s="2">
        <v>1</v>
      </c>
      <c r="T67" s="2">
        <v>0</v>
      </c>
      <c r="U67" s="2">
        <v>1</v>
      </c>
      <c r="V67" s="2" t="s">
        <v>289</v>
      </c>
      <c r="W67" s="2" t="s">
        <v>294</v>
      </c>
      <c r="X67" s="2" t="s">
        <v>83</v>
      </c>
      <c r="Y67" s="2">
        <v>0</v>
      </c>
      <c r="Z67" s="2"/>
      <c r="AA67" s="2"/>
      <c r="AB67" s="2"/>
      <c r="AC67" s="2"/>
      <c r="AD67" s="2"/>
      <c r="AE67" s="2"/>
      <c r="AF67" s="2"/>
      <c r="AG67" s="2">
        <v>0</v>
      </c>
      <c r="AH67" s="2"/>
      <c r="AI67" s="2"/>
      <c r="AJ67" s="2"/>
      <c r="AK67" s="2"/>
      <c r="AL67" s="2"/>
      <c r="AM67" s="2"/>
      <c r="AN67" s="2"/>
      <c r="AO67" s="2"/>
      <c r="AP67" s="2"/>
      <c r="AQ67" s="2">
        <v>0</v>
      </c>
      <c r="AR67" s="2"/>
      <c r="AS67" s="2"/>
      <c r="AT67" s="2"/>
      <c r="AU67" s="2"/>
      <c r="AV67" s="2"/>
      <c r="AW67" s="2"/>
      <c r="AX67" s="2">
        <v>1</v>
      </c>
      <c r="AY67" s="2">
        <v>1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>
        <v>1</v>
      </c>
      <c r="BV67" s="2">
        <v>0</v>
      </c>
      <c r="BW67" s="2">
        <v>0</v>
      </c>
      <c r="BX67" s="2">
        <v>1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1</v>
      </c>
      <c r="CG67" s="2">
        <v>0</v>
      </c>
      <c r="CH67" s="2">
        <v>0</v>
      </c>
      <c r="CI67" s="2">
        <v>1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/>
      <c r="CR67" s="2"/>
      <c r="CS67" s="2"/>
      <c r="CT67" s="2"/>
      <c r="CU67" s="2"/>
      <c r="CV67" s="2"/>
      <c r="CW67" s="2"/>
      <c r="CX67" s="2"/>
    </row>
    <row r="68" ht="46" customHeight="1" spans="1:102">
      <c r="A68" s="2" t="s">
        <v>394</v>
      </c>
      <c r="B68" s="2">
        <v>68</v>
      </c>
      <c r="C68" s="2" t="s">
        <v>316</v>
      </c>
      <c r="D68" s="2">
        <v>1</v>
      </c>
      <c r="E68" s="2">
        <v>0</v>
      </c>
      <c r="F68" s="2">
        <v>229</v>
      </c>
      <c r="G68" s="2" t="s">
        <v>7</v>
      </c>
      <c r="H68" s="2" t="s">
        <v>24</v>
      </c>
      <c r="I68" s="2" t="s">
        <v>28</v>
      </c>
      <c r="J68" s="2" t="s">
        <v>35</v>
      </c>
      <c r="K68" s="2" t="s">
        <v>44</v>
      </c>
      <c r="L68" s="2">
        <v>1</v>
      </c>
      <c r="M68" s="2" t="s">
        <v>43</v>
      </c>
      <c r="N68" s="2" t="s">
        <v>287</v>
      </c>
      <c r="O68" s="2">
        <v>0</v>
      </c>
      <c r="P68" s="2" t="s">
        <v>346</v>
      </c>
      <c r="Q68" s="2">
        <v>1</v>
      </c>
      <c r="R68" s="2">
        <v>0</v>
      </c>
      <c r="S68" s="2">
        <v>1</v>
      </c>
      <c r="T68" s="2">
        <v>0</v>
      </c>
      <c r="U68" s="2">
        <v>0</v>
      </c>
      <c r="V68" s="2" t="s">
        <v>293</v>
      </c>
      <c r="W68" s="2" t="s">
        <v>395</v>
      </c>
      <c r="X68" s="2" t="s">
        <v>84</v>
      </c>
      <c r="Y68" s="2">
        <v>1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1</v>
      </c>
      <c r="AH68" s="2">
        <v>0</v>
      </c>
      <c r="AI68" s="2">
        <v>0</v>
      </c>
      <c r="AJ68" s="2">
        <v>0</v>
      </c>
      <c r="AK68" s="2">
        <v>1</v>
      </c>
      <c r="AL68" s="2">
        <v>1</v>
      </c>
      <c r="AM68" s="2">
        <v>0</v>
      </c>
      <c r="AN68" s="2">
        <v>0</v>
      </c>
      <c r="AO68" s="2">
        <v>0</v>
      </c>
      <c r="AP68" s="2">
        <v>1</v>
      </c>
      <c r="AQ68" s="2">
        <v>1</v>
      </c>
      <c r="AR68" s="2">
        <v>0</v>
      </c>
      <c r="AS68" s="2">
        <v>0</v>
      </c>
      <c r="AT68" s="2">
        <v>1</v>
      </c>
      <c r="AU68" s="2">
        <v>0</v>
      </c>
      <c r="AV68" s="2">
        <v>1</v>
      </c>
      <c r="AW68" s="2">
        <v>0</v>
      </c>
      <c r="AX68" s="2">
        <v>1</v>
      </c>
      <c r="AY68" s="2">
        <v>1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1</v>
      </c>
      <c r="BH68" s="2">
        <v>0</v>
      </c>
      <c r="BI68" s="2">
        <v>0</v>
      </c>
      <c r="BJ68" s="2">
        <v>0</v>
      </c>
      <c r="BK68" s="2">
        <v>1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1</v>
      </c>
      <c r="BV68" s="2">
        <v>0</v>
      </c>
      <c r="BW68" s="2">
        <v>0</v>
      </c>
      <c r="BX68" s="2">
        <v>1</v>
      </c>
      <c r="BY68" s="2">
        <v>0</v>
      </c>
      <c r="BZ68" s="2">
        <v>0</v>
      </c>
      <c r="CA68" s="2">
        <v>0</v>
      </c>
      <c r="CB68" s="2">
        <v>1</v>
      </c>
      <c r="CC68" s="2">
        <v>0</v>
      </c>
      <c r="CD68" s="2">
        <v>0</v>
      </c>
      <c r="CE68" s="2">
        <v>0</v>
      </c>
      <c r="CF68" s="2">
        <v>1</v>
      </c>
      <c r="CG68" s="2">
        <v>0</v>
      </c>
      <c r="CH68" s="2">
        <v>0</v>
      </c>
      <c r="CI68" s="2">
        <v>0</v>
      </c>
      <c r="CJ68" s="2">
        <v>1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/>
      <c r="CR68" s="2"/>
      <c r="CS68" s="2"/>
      <c r="CT68" s="2"/>
      <c r="CU68" s="2"/>
      <c r="CV68" s="2"/>
      <c r="CW68" s="2"/>
      <c r="CX68" s="2"/>
    </row>
    <row r="69" ht="46" customHeight="1" spans="1:102">
      <c r="A69" s="2" t="s">
        <v>396</v>
      </c>
      <c r="B69" s="2">
        <v>69</v>
      </c>
      <c r="C69" s="2" t="s">
        <v>286</v>
      </c>
      <c r="D69" s="2">
        <v>1</v>
      </c>
      <c r="E69" s="2">
        <v>1</v>
      </c>
      <c r="F69" s="2">
        <v>262</v>
      </c>
      <c r="G69" s="2" t="s">
        <v>7</v>
      </c>
      <c r="H69" s="2" t="s">
        <v>24</v>
      </c>
      <c r="I69" s="2" t="s">
        <v>29</v>
      </c>
      <c r="J69" s="2" t="s">
        <v>35</v>
      </c>
      <c r="K69" s="2" t="s">
        <v>44</v>
      </c>
      <c r="L69" s="2">
        <v>1</v>
      </c>
      <c r="M69" s="2" t="s">
        <v>43</v>
      </c>
      <c r="N69" s="2" t="s">
        <v>86</v>
      </c>
      <c r="O69" s="2">
        <v>0</v>
      </c>
      <c r="P69" s="2" t="s">
        <v>323</v>
      </c>
      <c r="Q69" s="2">
        <v>0</v>
      </c>
      <c r="R69" s="2">
        <v>0</v>
      </c>
      <c r="S69" s="2">
        <v>1</v>
      </c>
      <c r="T69" s="2">
        <v>0</v>
      </c>
      <c r="U69" s="2">
        <v>0</v>
      </c>
      <c r="V69" s="2" t="s">
        <v>324</v>
      </c>
      <c r="W69" s="2" t="s">
        <v>325</v>
      </c>
      <c r="X69" s="2" t="s">
        <v>86</v>
      </c>
      <c r="Y69" s="2">
        <v>1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1</v>
      </c>
      <c r="AH69" s="2">
        <v>0</v>
      </c>
      <c r="AI69" s="2">
        <v>1</v>
      </c>
      <c r="AJ69" s="2">
        <v>0</v>
      </c>
      <c r="AK69" s="2">
        <v>1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0</v>
      </c>
      <c r="AS69" s="2">
        <v>0</v>
      </c>
      <c r="AT69" s="2">
        <v>0</v>
      </c>
      <c r="AU69" s="2">
        <v>0</v>
      </c>
      <c r="AV69" s="2">
        <v>1</v>
      </c>
      <c r="AW69" s="2">
        <v>0</v>
      </c>
      <c r="AX69" s="2">
        <v>0</v>
      </c>
      <c r="AY69" s="2"/>
      <c r="AZ69" s="2"/>
      <c r="BA69" s="2"/>
      <c r="BB69" s="2"/>
      <c r="BC69" s="2"/>
      <c r="BD69" s="2"/>
      <c r="BE69" s="2"/>
      <c r="BF69" s="2"/>
      <c r="BG69" s="2">
        <v>0</v>
      </c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>
        <v>1</v>
      </c>
      <c r="BV69" s="2">
        <v>1</v>
      </c>
      <c r="BW69" s="2">
        <v>1</v>
      </c>
      <c r="BX69" s="2">
        <v>0</v>
      </c>
      <c r="BY69" s="2">
        <v>0</v>
      </c>
      <c r="BZ69" s="2">
        <v>0</v>
      </c>
      <c r="CA69" s="2">
        <v>1</v>
      </c>
      <c r="CB69" s="2">
        <v>0</v>
      </c>
      <c r="CC69" s="2">
        <v>0</v>
      </c>
      <c r="CD69" s="2">
        <v>1</v>
      </c>
      <c r="CE69" s="2">
        <v>0</v>
      </c>
      <c r="CF69" s="2">
        <v>1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1</v>
      </c>
      <c r="CO69" s="2">
        <v>0</v>
      </c>
      <c r="CP69" s="2">
        <v>0</v>
      </c>
      <c r="CQ69" s="2"/>
      <c r="CR69" s="2"/>
      <c r="CS69" s="2"/>
      <c r="CT69" s="2"/>
      <c r="CU69" s="2"/>
      <c r="CV69" s="2"/>
      <c r="CW69" s="2"/>
      <c r="CX69" s="2"/>
    </row>
    <row r="70" ht="46" customHeight="1" spans="1:102">
      <c r="A70" s="2" t="s">
        <v>397</v>
      </c>
      <c r="B70" s="2">
        <v>70</v>
      </c>
      <c r="C70" s="2" t="s">
        <v>286</v>
      </c>
      <c r="D70" s="2">
        <v>1</v>
      </c>
      <c r="E70" s="2">
        <v>1</v>
      </c>
      <c r="F70" s="2">
        <v>233</v>
      </c>
      <c r="G70" s="2" t="s">
        <v>7</v>
      </c>
      <c r="H70" s="2" t="s">
        <v>23</v>
      </c>
      <c r="I70" s="2" t="s">
        <v>30</v>
      </c>
      <c r="J70" s="2" t="s">
        <v>35</v>
      </c>
      <c r="K70" s="2" t="s">
        <v>46</v>
      </c>
      <c r="L70" s="2">
        <v>0</v>
      </c>
      <c r="M70" s="2" t="s">
        <v>47</v>
      </c>
      <c r="N70" s="2" t="s">
        <v>86</v>
      </c>
      <c r="O70" s="2">
        <v>0</v>
      </c>
      <c r="P70" s="2" t="s">
        <v>323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 t="s">
        <v>324</v>
      </c>
      <c r="W70" s="2" t="s">
        <v>325</v>
      </c>
      <c r="X70" s="2" t="s">
        <v>86</v>
      </c>
      <c r="Y70" s="2">
        <v>0</v>
      </c>
      <c r="Z70" s="2"/>
      <c r="AA70" s="2"/>
      <c r="AB70" s="2"/>
      <c r="AC70" s="2"/>
      <c r="AD70" s="2"/>
      <c r="AE70" s="2"/>
      <c r="AF70" s="2"/>
      <c r="AG70" s="2">
        <v>0</v>
      </c>
      <c r="AH70" s="2"/>
      <c r="AI70" s="2"/>
      <c r="AJ70" s="2"/>
      <c r="AK70" s="2"/>
      <c r="AL70" s="2"/>
      <c r="AM70" s="2"/>
      <c r="AN70" s="2"/>
      <c r="AO70" s="2"/>
      <c r="AP70" s="2"/>
      <c r="AQ70" s="2">
        <v>0</v>
      </c>
      <c r="AR70" s="2"/>
      <c r="AS70" s="2"/>
      <c r="AT70" s="2"/>
      <c r="AU70" s="2"/>
      <c r="AV70" s="2"/>
      <c r="AW70" s="2"/>
      <c r="AX70" s="2">
        <v>0</v>
      </c>
      <c r="AY70" s="2"/>
      <c r="AZ70" s="2"/>
      <c r="BA70" s="2"/>
      <c r="BB70" s="2"/>
      <c r="BC70" s="2"/>
      <c r="BD70" s="2"/>
      <c r="BE70" s="2"/>
      <c r="BF70" s="2"/>
      <c r="BG70" s="2">
        <v>0</v>
      </c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>
        <v>1</v>
      </c>
      <c r="BV70" s="2">
        <v>0</v>
      </c>
      <c r="BW70" s="2">
        <v>0</v>
      </c>
      <c r="BX70" s="2">
        <v>0</v>
      </c>
      <c r="BY70" s="2">
        <v>1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1</v>
      </c>
      <c r="CG70" s="2">
        <v>0</v>
      </c>
      <c r="CH70" s="2">
        <v>0</v>
      </c>
      <c r="CI70" s="2">
        <v>1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/>
      <c r="CR70" s="2"/>
      <c r="CS70" s="2"/>
      <c r="CT70" s="2"/>
      <c r="CU70" s="2"/>
      <c r="CV70" s="2"/>
      <c r="CW70" s="2"/>
      <c r="CX70" s="2"/>
    </row>
    <row r="71" ht="46" customHeight="1" spans="1:102">
      <c r="A71" s="2" t="s">
        <v>398</v>
      </c>
      <c r="B71" s="2">
        <v>71</v>
      </c>
      <c r="C71" s="2" t="s">
        <v>286</v>
      </c>
      <c r="D71" s="2">
        <v>1</v>
      </c>
      <c r="E71" s="2">
        <v>1</v>
      </c>
      <c r="F71" s="2">
        <v>293</v>
      </c>
      <c r="G71" s="2" t="s">
        <v>7</v>
      </c>
      <c r="H71" s="2" t="s">
        <v>24</v>
      </c>
      <c r="I71" s="2" t="s">
        <v>28</v>
      </c>
      <c r="J71" s="2" t="s">
        <v>35</v>
      </c>
      <c r="K71" s="2" t="s">
        <v>46</v>
      </c>
      <c r="L71" s="2">
        <v>0</v>
      </c>
      <c r="M71" s="2" t="s">
        <v>47</v>
      </c>
      <c r="N71" s="2" t="s">
        <v>86</v>
      </c>
      <c r="O71" s="2">
        <v>0</v>
      </c>
      <c r="P71" s="2" t="s">
        <v>366</v>
      </c>
      <c r="Q71" s="2">
        <v>0</v>
      </c>
      <c r="R71" s="2">
        <v>0</v>
      </c>
      <c r="S71" s="2">
        <v>1</v>
      </c>
      <c r="T71" s="2">
        <v>0</v>
      </c>
      <c r="U71" s="2">
        <v>0</v>
      </c>
      <c r="V71" s="2" t="s">
        <v>324</v>
      </c>
      <c r="W71" s="2" t="s">
        <v>325</v>
      </c>
      <c r="X71" s="2" t="s">
        <v>86</v>
      </c>
      <c r="Y71" s="2">
        <v>0</v>
      </c>
      <c r="Z71" s="2"/>
      <c r="AA71" s="2"/>
      <c r="AB71" s="2"/>
      <c r="AC71" s="2"/>
      <c r="AD71" s="2"/>
      <c r="AE71" s="2"/>
      <c r="AF71" s="2"/>
      <c r="AG71" s="2">
        <v>0</v>
      </c>
      <c r="AH71" s="2"/>
      <c r="AI71" s="2"/>
      <c r="AJ71" s="2"/>
      <c r="AK71" s="2"/>
      <c r="AL71" s="2"/>
      <c r="AM71" s="2"/>
      <c r="AN71" s="2"/>
      <c r="AO71" s="2"/>
      <c r="AP71" s="2"/>
      <c r="AQ71" s="2">
        <v>0</v>
      </c>
      <c r="AR71" s="2"/>
      <c r="AS71" s="2"/>
      <c r="AT71" s="2"/>
      <c r="AU71" s="2"/>
      <c r="AV71" s="2"/>
      <c r="AW71" s="2"/>
      <c r="AX71" s="2">
        <v>0</v>
      </c>
      <c r="AY71" s="2"/>
      <c r="AZ71" s="2"/>
      <c r="BA71" s="2"/>
      <c r="BB71" s="2"/>
      <c r="BC71" s="2"/>
      <c r="BD71" s="2"/>
      <c r="BE71" s="2"/>
      <c r="BF71" s="2"/>
      <c r="BG71" s="2">
        <v>0</v>
      </c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>
        <v>0</v>
      </c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>
        <v>1</v>
      </c>
      <c r="CG71" s="2">
        <v>1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/>
      <c r="CR71" s="2"/>
      <c r="CS71" s="2"/>
      <c r="CT71" s="2"/>
      <c r="CU71" s="2"/>
      <c r="CV71" s="2"/>
      <c r="CW71" s="2"/>
      <c r="CX71" s="2"/>
    </row>
    <row r="72" ht="46" customHeight="1" spans="1:102">
      <c r="A72" s="2" t="s">
        <v>399</v>
      </c>
      <c r="B72" s="2">
        <v>72</v>
      </c>
      <c r="C72" s="2" t="s">
        <v>316</v>
      </c>
      <c r="D72" s="2">
        <v>1</v>
      </c>
      <c r="E72" s="2">
        <v>0</v>
      </c>
      <c r="F72" s="2">
        <v>142</v>
      </c>
      <c r="G72" s="2" t="s">
        <v>7</v>
      </c>
      <c r="H72" s="2" t="s">
        <v>25</v>
      </c>
      <c r="I72" s="2" t="s">
        <v>27</v>
      </c>
      <c r="J72" s="2" t="s">
        <v>35</v>
      </c>
      <c r="K72" s="2" t="s">
        <v>46</v>
      </c>
      <c r="L72" s="2">
        <v>0</v>
      </c>
      <c r="M72" s="2" t="s">
        <v>45</v>
      </c>
      <c r="N72" s="2" t="s">
        <v>85</v>
      </c>
      <c r="O72" s="2">
        <v>0</v>
      </c>
      <c r="P72" s="2" t="s">
        <v>346</v>
      </c>
      <c r="Q72" s="2">
        <v>1</v>
      </c>
      <c r="R72" s="2">
        <v>0</v>
      </c>
      <c r="S72" s="2">
        <v>1</v>
      </c>
      <c r="T72" s="2">
        <v>0</v>
      </c>
      <c r="U72" s="2">
        <v>0</v>
      </c>
      <c r="V72" s="2" t="s">
        <v>293</v>
      </c>
      <c r="W72" s="2" t="s">
        <v>299</v>
      </c>
      <c r="X72" s="2" t="s">
        <v>85</v>
      </c>
      <c r="Y72" s="2">
        <v>0</v>
      </c>
      <c r="Z72" s="2"/>
      <c r="AA72" s="2"/>
      <c r="AB72" s="2"/>
      <c r="AC72" s="2"/>
      <c r="AD72" s="2"/>
      <c r="AE72" s="2"/>
      <c r="AF72" s="2"/>
      <c r="AG72" s="2">
        <v>0</v>
      </c>
      <c r="AH72" s="2"/>
      <c r="AI72" s="2"/>
      <c r="AJ72" s="2"/>
      <c r="AK72" s="2"/>
      <c r="AL72" s="2"/>
      <c r="AM72" s="2"/>
      <c r="AN72" s="2"/>
      <c r="AO72" s="2"/>
      <c r="AP72" s="2"/>
      <c r="AQ72" s="2">
        <v>0</v>
      </c>
      <c r="AR72" s="2"/>
      <c r="AS72" s="2"/>
      <c r="AT72" s="2"/>
      <c r="AU72" s="2"/>
      <c r="AV72" s="2"/>
      <c r="AW72" s="2"/>
      <c r="AX72" s="2">
        <v>0</v>
      </c>
      <c r="AY72" s="2"/>
      <c r="AZ72" s="2"/>
      <c r="BA72" s="2"/>
      <c r="BB72" s="2"/>
      <c r="BC72" s="2"/>
      <c r="BD72" s="2"/>
      <c r="BE72" s="2"/>
      <c r="BF72" s="2"/>
      <c r="BG72" s="2">
        <v>0</v>
      </c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>
        <v>1</v>
      </c>
      <c r="BV72" s="2">
        <v>1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1</v>
      </c>
      <c r="CD72" s="2">
        <v>0</v>
      </c>
      <c r="CE72" s="2">
        <v>0</v>
      </c>
      <c r="CF72" s="2">
        <v>1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1</v>
      </c>
      <c r="CO72" s="2">
        <v>0</v>
      </c>
      <c r="CP72" s="2">
        <v>0</v>
      </c>
      <c r="CQ72" s="2"/>
      <c r="CR72" s="2"/>
      <c r="CS72" s="2"/>
      <c r="CT72" s="2"/>
      <c r="CU72" s="2"/>
      <c r="CV72" s="2"/>
      <c r="CW72" s="2"/>
      <c r="CX72" s="2"/>
    </row>
    <row r="73" ht="46" customHeight="1" spans="1:102">
      <c r="A73" s="2" t="s">
        <v>400</v>
      </c>
      <c r="B73" s="2">
        <v>73</v>
      </c>
      <c r="C73" s="2" t="s">
        <v>286</v>
      </c>
      <c r="D73" s="2">
        <v>1</v>
      </c>
      <c r="E73" s="2">
        <v>1</v>
      </c>
      <c r="F73" s="2">
        <v>227</v>
      </c>
      <c r="G73" s="2" t="s">
        <v>7</v>
      </c>
      <c r="H73" s="2" t="s">
        <v>23</v>
      </c>
      <c r="I73" s="2" t="s">
        <v>28</v>
      </c>
      <c r="J73" s="2" t="s">
        <v>35</v>
      </c>
      <c r="K73" s="2" t="s">
        <v>46</v>
      </c>
      <c r="L73" s="2">
        <v>0</v>
      </c>
      <c r="M73" s="2" t="s">
        <v>43</v>
      </c>
      <c r="N73" s="2" t="s">
        <v>85</v>
      </c>
      <c r="O73" s="2">
        <v>1</v>
      </c>
      <c r="P73" s="2" t="s">
        <v>401</v>
      </c>
      <c r="Q73" s="2">
        <v>0</v>
      </c>
      <c r="R73" s="2">
        <v>0</v>
      </c>
      <c r="S73" s="2">
        <v>1</v>
      </c>
      <c r="T73" s="2">
        <v>1</v>
      </c>
      <c r="U73" s="2">
        <v>0</v>
      </c>
      <c r="V73" s="2" t="s">
        <v>324</v>
      </c>
      <c r="W73" s="2" t="s">
        <v>325</v>
      </c>
      <c r="X73" s="2" t="s">
        <v>85</v>
      </c>
      <c r="Y73" s="2">
        <v>0</v>
      </c>
      <c r="Z73" s="2"/>
      <c r="AA73" s="2"/>
      <c r="AB73" s="2"/>
      <c r="AC73" s="2"/>
      <c r="AD73" s="2"/>
      <c r="AE73" s="2"/>
      <c r="AF73" s="2"/>
      <c r="AG73" s="2">
        <v>0</v>
      </c>
      <c r="AH73" s="2"/>
      <c r="AI73" s="2"/>
      <c r="AJ73" s="2"/>
      <c r="AK73" s="2"/>
      <c r="AL73" s="2"/>
      <c r="AM73" s="2"/>
      <c r="AN73" s="2"/>
      <c r="AO73" s="2"/>
      <c r="AP73" s="2"/>
      <c r="AQ73" s="2">
        <v>0</v>
      </c>
      <c r="AR73" s="2"/>
      <c r="AS73" s="2"/>
      <c r="AT73" s="2"/>
      <c r="AU73" s="2"/>
      <c r="AV73" s="2"/>
      <c r="AW73" s="2"/>
      <c r="AX73" s="2">
        <v>0</v>
      </c>
      <c r="AY73" s="2"/>
      <c r="AZ73" s="2"/>
      <c r="BA73" s="2"/>
      <c r="BB73" s="2"/>
      <c r="BC73" s="2"/>
      <c r="BD73" s="2"/>
      <c r="BE73" s="2"/>
      <c r="BF73" s="2"/>
      <c r="BG73" s="2">
        <v>0</v>
      </c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>
        <v>0</v>
      </c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>
        <v>0</v>
      </c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</row>
    <row r="74" ht="46" customHeight="1" spans="1:102">
      <c r="A74" s="2" t="s">
        <v>402</v>
      </c>
      <c r="B74" s="2">
        <v>74</v>
      </c>
      <c r="C74" s="2" t="s">
        <v>286</v>
      </c>
      <c r="D74" s="2">
        <v>1</v>
      </c>
      <c r="E74" s="2">
        <v>1</v>
      </c>
      <c r="F74" s="2">
        <v>285</v>
      </c>
      <c r="G74" s="2" t="s">
        <v>11</v>
      </c>
      <c r="H74" s="2" t="s">
        <v>24</v>
      </c>
      <c r="I74" s="2" t="s">
        <v>28</v>
      </c>
      <c r="J74" s="2" t="s">
        <v>37</v>
      </c>
      <c r="K74" s="2" t="s">
        <v>46</v>
      </c>
      <c r="L74" s="2">
        <v>0</v>
      </c>
      <c r="M74" s="2" t="s">
        <v>45</v>
      </c>
      <c r="N74" s="2" t="s">
        <v>86</v>
      </c>
      <c r="O74" s="2">
        <v>0</v>
      </c>
      <c r="P74" s="2" t="s">
        <v>323</v>
      </c>
      <c r="Q74" s="2">
        <v>0</v>
      </c>
      <c r="R74" s="2">
        <v>0</v>
      </c>
      <c r="S74" s="2">
        <v>1</v>
      </c>
      <c r="T74" s="2">
        <v>0</v>
      </c>
      <c r="U74" s="2">
        <v>0</v>
      </c>
      <c r="V74" s="2" t="s">
        <v>324</v>
      </c>
      <c r="W74" s="2" t="s">
        <v>325</v>
      </c>
      <c r="X74" s="2" t="s">
        <v>86</v>
      </c>
      <c r="Y74" s="2">
        <v>0</v>
      </c>
      <c r="Z74" s="2"/>
      <c r="AA74" s="2"/>
      <c r="AB74" s="2"/>
      <c r="AC74" s="2"/>
      <c r="AD74" s="2"/>
      <c r="AE74" s="2"/>
      <c r="AF74" s="2"/>
      <c r="AG74" s="2">
        <v>0</v>
      </c>
      <c r="AH74" s="2"/>
      <c r="AI74" s="2"/>
      <c r="AJ74" s="2"/>
      <c r="AK74" s="2"/>
      <c r="AL74" s="2"/>
      <c r="AM74" s="2"/>
      <c r="AN74" s="2"/>
      <c r="AO74" s="2"/>
      <c r="AP74" s="2"/>
      <c r="AQ74" s="2">
        <v>0</v>
      </c>
      <c r="AR74" s="2"/>
      <c r="AS74" s="2"/>
      <c r="AT74" s="2"/>
      <c r="AU74" s="2"/>
      <c r="AV74" s="2"/>
      <c r="AW74" s="2"/>
      <c r="AX74" s="2">
        <v>0</v>
      </c>
      <c r="AY74" s="2"/>
      <c r="AZ74" s="2"/>
      <c r="BA74" s="2"/>
      <c r="BB74" s="2"/>
      <c r="BC74" s="2"/>
      <c r="BD74" s="2"/>
      <c r="BE74" s="2"/>
      <c r="BF74" s="2"/>
      <c r="BG74" s="2">
        <v>0</v>
      </c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>
        <v>1</v>
      </c>
      <c r="BV74" s="2">
        <v>0</v>
      </c>
      <c r="BW74" s="2">
        <v>0</v>
      </c>
      <c r="BX74" s="2">
        <v>1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1</v>
      </c>
      <c r="CG74" s="2">
        <v>0</v>
      </c>
      <c r="CH74" s="2">
        <v>0</v>
      </c>
      <c r="CI74" s="2">
        <v>0</v>
      </c>
      <c r="CJ74" s="2">
        <v>1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/>
      <c r="CR74" s="2"/>
      <c r="CS74" s="2"/>
      <c r="CT74" s="2"/>
      <c r="CU74" s="2"/>
      <c r="CV74" s="2"/>
      <c r="CW74" s="2"/>
      <c r="CX74" s="2"/>
    </row>
    <row r="75" ht="46" customHeight="1" spans="1:102">
      <c r="A75" s="2" t="s">
        <v>403</v>
      </c>
      <c r="B75" s="2">
        <v>75</v>
      </c>
      <c r="C75" s="2" t="s">
        <v>286</v>
      </c>
      <c r="D75" s="2">
        <v>1</v>
      </c>
      <c r="E75" s="2">
        <v>1</v>
      </c>
      <c r="F75" s="2">
        <v>232</v>
      </c>
      <c r="G75" s="2" t="s">
        <v>14</v>
      </c>
      <c r="H75" s="2" t="s">
        <v>23</v>
      </c>
      <c r="I75" s="2" t="s">
        <v>28</v>
      </c>
      <c r="J75" s="2" t="s">
        <v>37</v>
      </c>
      <c r="K75" s="2" t="s">
        <v>46</v>
      </c>
      <c r="L75" s="2">
        <v>0</v>
      </c>
      <c r="M75" s="2" t="s">
        <v>43</v>
      </c>
      <c r="N75" s="2" t="s">
        <v>86</v>
      </c>
      <c r="O75" s="2">
        <v>0</v>
      </c>
      <c r="P75" s="2" t="s">
        <v>357</v>
      </c>
      <c r="Q75" s="2">
        <v>0</v>
      </c>
      <c r="R75" s="2">
        <v>0</v>
      </c>
      <c r="S75" s="2">
        <v>1</v>
      </c>
      <c r="T75" s="2">
        <v>0</v>
      </c>
      <c r="U75" s="2">
        <v>0</v>
      </c>
      <c r="V75" s="2" t="s">
        <v>324</v>
      </c>
      <c r="W75" s="2" t="s">
        <v>325</v>
      </c>
      <c r="X75" s="2" t="s">
        <v>86</v>
      </c>
      <c r="Y75" s="2">
        <v>0</v>
      </c>
      <c r="Z75" s="2"/>
      <c r="AA75" s="2"/>
      <c r="AB75" s="2"/>
      <c r="AC75" s="2"/>
      <c r="AD75" s="2"/>
      <c r="AE75" s="2"/>
      <c r="AF75" s="2"/>
      <c r="AG75" s="2">
        <v>0</v>
      </c>
      <c r="AH75" s="2"/>
      <c r="AI75" s="2"/>
      <c r="AJ75" s="2"/>
      <c r="AK75" s="2"/>
      <c r="AL75" s="2"/>
      <c r="AM75" s="2"/>
      <c r="AN75" s="2"/>
      <c r="AO75" s="2"/>
      <c r="AP75" s="2"/>
      <c r="AQ75" s="2">
        <v>1</v>
      </c>
      <c r="AR75" s="2">
        <v>0</v>
      </c>
      <c r="AS75" s="2">
        <v>0</v>
      </c>
      <c r="AT75" s="2">
        <v>0</v>
      </c>
      <c r="AU75" s="2">
        <v>0</v>
      </c>
      <c r="AV75" s="2">
        <v>1</v>
      </c>
      <c r="AW75" s="2">
        <v>0</v>
      </c>
      <c r="AX75" s="2">
        <v>0</v>
      </c>
      <c r="AY75" s="2"/>
      <c r="AZ75" s="2"/>
      <c r="BA75" s="2"/>
      <c r="BB75" s="2"/>
      <c r="BC75" s="2"/>
      <c r="BD75" s="2"/>
      <c r="BE75" s="2"/>
      <c r="BF75" s="2"/>
      <c r="BG75" s="2">
        <v>0</v>
      </c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>
        <v>1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1</v>
      </c>
      <c r="CE75" s="2">
        <v>0</v>
      </c>
      <c r="CF75" s="2">
        <v>1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1</v>
      </c>
      <c r="CP75" s="2">
        <v>0</v>
      </c>
      <c r="CQ75" s="2"/>
      <c r="CR75" s="2"/>
      <c r="CS75" s="2"/>
      <c r="CT75" s="2"/>
      <c r="CU75" s="2"/>
      <c r="CV75" s="2"/>
      <c r="CW75" s="2"/>
      <c r="CX75" s="2"/>
    </row>
    <row r="76" ht="46" customHeight="1" spans="1:102">
      <c r="A76" s="2" t="s">
        <v>404</v>
      </c>
      <c r="B76" s="2">
        <v>76</v>
      </c>
      <c r="C76" s="2" t="s">
        <v>316</v>
      </c>
      <c r="D76" s="2">
        <v>1</v>
      </c>
      <c r="E76" s="2">
        <v>0</v>
      </c>
      <c r="F76" s="2">
        <v>163</v>
      </c>
      <c r="G76" s="2" t="s">
        <v>11</v>
      </c>
      <c r="H76" s="2" t="s">
        <v>23</v>
      </c>
      <c r="I76" s="2" t="s">
        <v>28</v>
      </c>
      <c r="J76" s="2" t="s">
        <v>35</v>
      </c>
      <c r="K76" s="2" t="s">
        <v>48</v>
      </c>
      <c r="L76" s="2">
        <v>1</v>
      </c>
      <c r="M76" s="2" t="s">
        <v>47</v>
      </c>
      <c r="N76" s="2" t="s">
        <v>85</v>
      </c>
      <c r="O76" s="2">
        <v>0</v>
      </c>
      <c r="P76" s="2" t="s">
        <v>336</v>
      </c>
      <c r="Q76" s="2">
        <v>1</v>
      </c>
      <c r="R76" s="2">
        <v>0</v>
      </c>
      <c r="S76" s="2">
        <v>1</v>
      </c>
      <c r="T76" s="2">
        <v>0</v>
      </c>
      <c r="U76" s="2">
        <v>1</v>
      </c>
      <c r="V76" s="2" t="s">
        <v>293</v>
      </c>
      <c r="W76" s="2" t="s">
        <v>299</v>
      </c>
      <c r="X76" s="2" t="s">
        <v>85</v>
      </c>
      <c r="Y76" s="2">
        <v>1</v>
      </c>
      <c r="Z76" s="2">
        <v>0</v>
      </c>
      <c r="AA76" s="2">
        <v>0</v>
      </c>
      <c r="AB76" s="2">
        <v>0</v>
      </c>
      <c r="AC76" s="2">
        <v>1</v>
      </c>
      <c r="AD76" s="2">
        <v>0</v>
      </c>
      <c r="AE76" s="2">
        <v>0</v>
      </c>
      <c r="AF76" s="2">
        <v>0</v>
      </c>
      <c r="AG76" s="2">
        <v>1</v>
      </c>
      <c r="AH76" s="2">
        <v>0</v>
      </c>
      <c r="AI76" s="2">
        <v>0</v>
      </c>
      <c r="AJ76" s="2">
        <v>0</v>
      </c>
      <c r="AK76" s="2">
        <v>1</v>
      </c>
      <c r="AL76" s="2">
        <v>0</v>
      </c>
      <c r="AM76" s="2">
        <v>0</v>
      </c>
      <c r="AN76" s="2">
        <v>0</v>
      </c>
      <c r="AO76" s="2">
        <v>0</v>
      </c>
      <c r="AP76" s="2">
        <v>1</v>
      </c>
      <c r="AQ76" s="2">
        <v>0</v>
      </c>
      <c r="AR76" s="2"/>
      <c r="AS76" s="2"/>
      <c r="AT76" s="2"/>
      <c r="AU76" s="2"/>
      <c r="AV76" s="2"/>
      <c r="AW76" s="2"/>
      <c r="AX76" s="2">
        <v>0</v>
      </c>
      <c r="AY76" s="2"/>
      <c r="AZ76" s="2"/>
      <c r="BA76" s="2"/>
      <c r="BB76" s="2"/>
      <c r="BC76" s="2"/>
      <c r="BD76" s="2"/>
      <c r="BE76" s="2"/>
      <c r="BF76" s="2"/>
      <c r="BG76" s="2">
        <v>0</v>
      </c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>
        <v>1</v>
      </c>
      <c r="BV76" s="2">
        <v>0</v>
      </c>
      <c r="BW76" s="2">
        <v>0</v>
      </c>
      <c r="BX76" s="2">
        <v>1</v>
      </c>
      <c r="BY76" s="2">
        <v>0</v>
      </c>
      <c r="BZ76" s="2">
        <v>0</v>
      </c>
      <c r="CA76" s="2">
        <v>0</v>
      </c>
      <c r="CB76" s="2">
        <v>1</v>
      </c>
      <c r="CC76" s="2">
        <v>0</v>
      </c>
      <c r="CD76" s="2">
        <v>0</v>
      </c>
      <c r="CE76" s="2">
        <v>0</v>
      </c>
      <c r="CF76" s="2">
        <v>1</v>
      </c>
      <c r="CG76" s="2">
        <v>0</v>
      </c>
      <c r="CH76" s="2">
        <v>1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/>
      <c r="CR76" s="2"/>
      <c r="CS76" s="2"/>
      <c r="CT76" s="2"/>
      <c r="CU76" s="2"/>
      <c r="CV76" s="2"/>
      <c r="CW76" s="2"/>
      <c r="CX76" s="2"/>
    </row>
    <row r="77" ht="46" customHeight="1" spans="1:102">
      <c r="A77" s="2" t="s">
        <v>405</v>
      </c>
      <c r="B77" s="2">
        <v>77</v>
      </c>
      <c r="C77" s="2" t="s">
        <v>286</v>
      </c>
      <c r="D77" s="2">
        <v>1</v>
      </c>
      <c r="E77" s="2">
        <v>1</v>
      </c>
      <c r="F77" s="2">
        <v>153</v>
      </c>
      <c r="G77" s="2" t="s">
        <v>7</v>
      </c>
      <c r="H77" s="2" t="s">
        <v>25</v>
      </c>
      <c r="I77" s="2" t="s">
        <v>28</v>
      </c>
      <c r="J77" s="2" t="s">
        <v>35</v>
      </c>
      <c r="K77" s="2" t="s">
        <v>46</v>
      </c>
      <c r="L77" s="2">
        <v>0</v>
      </c>
      <c r="M77" s="2" t="s">
        <v>47</v>
      </c>
      <c r="N77" s="2" t="s">
        <v>86</v>
      </c>
      <c r="O77" s="2">
        <v>0</v>
      </c>
      <c r="P77" s="2" t="s">
        <v>323</v>
      </c>
      <c r="Q77" s="2">
        <v>0</v>
      </c>
      <c r="R77" s="2">
        <v>0</v>
      </c>
      <c r="S77" s="2">
        <v>1</v>
      </c>
      <c r="T77" s="2">
        <v>0</v>
      </c>
      <c r="U77" s="2">
        <v>0</v>
      </c>
      <c r="V77" s="2" t="s">
        <v>324</v>
      </c>
      <c r="W77" s="2" t="s">
        <v>325</v>
      </c>
      <c r="X77" s="2" t="s">
        <v>86</v>
      </c>
      <c r="Y77" s="2">
        <v>0</v>
      </c>
      <c r="Z77" s="2"/>
      <c r="AA77" s="2"/>
      <c r="AB77" s="2"/>
      <c r="AC77" s="2"/>
      <c r="AD77" s="2"/>
      <c r="AE77" s="2"/>
      <c r="AF77" s="2"/>
      <c r="AG77" s="2">
        <v>0</v>
      </c>
      <c r="AH77" s="2"/>
      <c r="AI77" s="2"/>
      <c r="AJ77" s="2"/>
      <c r="AK77" s="2"/>
      <c r="AL77" s="2"/>
      <c r="AM77" s="2"/>
      <c r="AN77" s="2"/>
      <c r="AO77" s="2"/>
      <c r="AP77" s="2"/>
      <c r="AQ77" s="2">
        <v>0</v>
      </c>
      <c r="AR77" s="2"/>
      <c r="AS77" s="2"/>
      <c r="AT77" s="2"/>
      <c r="AU77" s="2"/>
      <c r="AV77" s="2"/>
      <c r="AW77" s="2"/>
      <c r="AX77" s="2">
        <v>0</v>
      </c>
      <c r="AY77" s="2"/>
      <c r="AZ77" s="2"/>
      <c r="BA77" s="2"/>
      <c r="BB77" s="2"/>
      <c r="BC77" s="2"/>
      <c r="BD77" s="2"/>
      <c r="BE77" s="2"/>
      <c r="BF77" s="2"/>
      <c r="BG77" s="2">
        <v>0</v>
      </c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>
        <v>1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1</v>
      </c>
      <c r="CE77" s="2">
        <v>0</v>
      </c>
      <c r="CF77" s="2">
        <v>1</v>
      </c>
      <c r="CG77" s="2">
        <v>0</v>
      </c>
      <c r="CH77" s="2">
        <v>0</v>
      </c>
      <c r="CI77" s="2">
        <v>1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/>
      <c r="CR77" s="2"/>
      <c r="CS77" s="2"/>
      <c r="CT77" s="2"/>
      <c r="CU77" s="2"/>
      <c r="CV77" s="2"/>
      <c r="CW77" s="2"/>
      <c r="CX77" s="2"/>
    </row>
    <row r="78" ht="46" customHeight="1" spans="1:102">
      <c r="A78" s="2" t="s">
        <v>406</v>
      </c>
      <c r="B78" s="2">
        <v>78</v>
      </c>
      <c r="C78" s="2" t="s">
        <v>286</v>
      </c>
      <c r="D78" s="2">
        <v>1</v>
      </c>
      <c r="E78" s="2">
        <v>1</v>
      </c>
      <c r="F78" s="2">
        <v>278</v>
      </c>
      <c r="G78" s="2" t="s">
        <v>9</v>
      </c>
      <c r="H78" s="2" t="s">
        <v>24</v>
      </c>
      <c r="I78" s="2" t="s">
        <v>27</v>
      </c>
      <c r="J78" s="2" t="s">
        <v>35</v>
      </c>
      <c r="K78" s="2" t="s">
        <v>48</v>
      </c>
      <c r="L78" s="2">
        <v>1</v>
      </c>
      <c r="M78" s="2" t="s">
        <v>43</v>
      </c>
      <c r="N78" s="2" t="s">
        <v>86</v>
      </c>
      <c r="O78" s="2">
        <v>0</v>
      </c>
      <c r="P78" s="2" t="s">
        <v>344</v>
      </c>
      <c r="Q78" s="2">
        <v>0</v>
      </c>
      <c r="R78" s="2">
        <v>0</v>
      </c>
      <c r="S78" s="2">
        <v>1</v>
      </c>
      <c r="T78" s="2">
        <v>1</v>
      </c>
      <c r="U78" s="2">
        <v>0</v>
      </c>
      <c r="V78" s="2" t="s">
        <v>324</v>
      </c>
      <c r="W78" s="2" t="s">
        <v>325</v>
      </c>
      <c r="X78" s="2" t="s">
        <v>86</v>
      </c>
      <c r="Y78" s="2">
        <v>1</v>
      </c>
      <c r="Z78" s="2">
        <v>0</v>
      </c>
      <c r="AA78" s="2">
        <v>0</v>
      </c>
      <c r="AB78" s="2">
        <v>0</v>
      </c>
      <c r="AC78" s="2">
        <v>1</v>
      </c>
      <c r="AD78" s="2">
        <v>0</v>
      </c>
      <c r="AE78" s="2">
        <v>1</v>
      </c>
      <c r="AF78" s="2">
        <v>0</v>
      </c>
      <c r="AG78" s="2">
        <v>1</v>
      </c>
      <c r="AH78" s="2">
        <v>0</v>
      </c>
      <c r="AI78" s="2">
        <v>0</v>
      </c>
      <c r="AJ78" s="2">
        <v>0</v>
      </c>
      <c r="AK78" s="2">
        <v>1</v>
      </c>
      <c r="AL78" s="2">
        <v>0</v>
      </c>
      <c r="AM78" s="2">
        <v>0</v>
      </c>
      <c r="AN78" s="2">
        <v>0</v>
      </c>
      <c r="AO78" s="2">
        <v>0</v>
      </c>
      <c r="AP78" s="2">
        <v>1</v>
      </c>
      <c r="AQ78" s="2">
        <v>1</v>
      </c>
      <c r="AR78" s="2">
        <v>1</v>
      </c>
      <c r="AS78" s="2">
        <v>0</v>
      </c>
      <c r="AT78" s="2">
        <v>0</v>
      </c>
      <c r="AU78" s="2">
        <v>0</v>
      </c>
      <c r="AV78" s="2">
        <v>1</v>
      </c>
      <c r="AW78" s="2">
        <v>0</v>
      </c>
      <c r="AX78" s="2">
        <v>0</v>
      </c>
      <c r="AY78" s="2"/>
      <c r="AZ78" s="2"/>
      <c r="BA78" s="2"/>
      <c r="BB78" s="2"/>
      <c r="BC78" s="2"/>
      <c r="BD78" s="2"/>
      <c r="BE78" s="2"/>
      <c r="BF78" s="2"/>
      <c r="BG78" s="2">
        <v>0</v>
      </c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>
        <v>1</v>
      </c>
      <c r="BV78" s="2">
        <v>1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1</v>
      </c>
      <c r="CC78" s="2">
        <v>0</v>
      </c>
      <c r="CD78" s="2">
        <v>1</v>
      </c>
      <c r="CE78" s="2">
        <v>0</v>
      </c>
      <c r="CF78" s="2">
        <v>0</v>
      </c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</row>
    <row r="79" ht="46" customHeight="1" spans="1:102">
      <c r="A79" s="2" t="s">
        <v>407</v>
      </c>
      <c r="B79" s="2">
        <v>79</v>
      </c>
      <c r="C79" s="2" t="s">
        <v>316</v>
      </c>
      <c r="D79" s="2">
        <v>1</v>
      </c>
      <c r="E79" s="2">
        <v>0</v>
      </c>
      <c r="F79" s="2">
        <v>200</v>
      </c>
      <c r="G79" s="2" t="s">
        <v>9</v>
      </c>
      <c r="H79" s="2" t="s">
        <v>23</v>
      </c>
      <c r="I79" s="2" t="s">
        <v>29</v>
      </c>
      <c r="J79" s="2" t="s">
        <v>35</v>
      </c>
      <c r="K79" s="2" t="s">
        <v>42</v>
      </c>
      <c r="L79" s="2">
        <v>1</v>
      </c>
      <c r="M79" s="2" t="s">
        <v>47</v>
      </c>
      <c r="N79" s="2" t="s">
        <v>287</v>
      </c>
      <c r="O79" s="2">
        <v>0</v>
      </c>
      <c r="P79" s="2" t="s">
        <v>321</v>
      </c>
      <c r="Q79" s="2">
        <v>1</v>
      </c>
      <c r="R79" s="2">
        <v>0</v>
      </c>
      <c r="S79" s="2">
        <v>1</v>
      </c>
      <c r="T79" s="2">
        <v>1</v>
      </c>
      <c r="U79" s="2">
        <v>1</v>
      </c>
      <c r="V79" s="2" t="s">
        <v>289</v>
      </c>
      <c r="W79" s="2" t="s">
        <v>290</v>
      </c>
      <c r="X79" s="2" t="s">
        <v>83</v>
      </c>
      <c r="Y79" s="2">
        <v>1</v>
      </c>
      <c r="Z79" s="2">
        <v>1</v>
      </c>
      <c r="AA79" s="2">
        <v>0</v>
      </c>
      <c r="AB79" s="2">
        <v>0</v>
      </c>
      <c r="AC79" s="2">
        <v>1</v>
      </c>
      <c r="AD79" s="2">
        <v>0</v>
      </c>
      <c r="AE79" s="2">
        <v>0</v>
      </c>
      <c r="AF79" s="2">
        <v>0</v>
      </c>
      <c r="AG79" s="2">
        <v>1</v>
      </c>
      <c r="AH79" s="2">
        <v>1</v>
      </c>
      <c r="AI79" s="2">
        <v>1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1</v>
      </c>
      <c r="AQ79" s="2">
        <v>0</v>
      </c>
      <c r="AR79" s="2"/>
      <c r="AS79" s="2"/>
      <c r="AT79" s="2"/>
      <c r="AU79" s="2"/>
      <c r="AV79" s="2"/>
      <c r="AW79" s="2"/>
      <c r="AX79" s="2">
        <v>1</v>
      </c>
      <c r="AY79" s="2">
        <v>1</v>
      </c>
      <c r="AZ79" s="2">
        <v>1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>
        <v>1</v>
      </c>
      <c r="BV79" s="2">
        <v>1</v>
      </c>
      <c r="BW79" s="2">
        <v>0</v>
      </c>
      <c r="BX79" s="2">
        <v>0</v>
      </c>
      <c r="BY79" s="2">
        <v>0</v>
      </c>
      <c r="BZ79" s="2">
        <v>1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</row>
    <row r="80" ht="46" customHeight="1" spans="1:102">
      <c r="A80" s="2" t="s">
        <v>408</v>
      </c>
      <c r="B80" s="2">
        <v>80</v>
      </c>
      <c r="C80" s="2" t="s">
        <v>286</v>
      </c>
      <c r="D80" s="2">
        <v>1</v>
      </c>
      <c r="E80" s="2">
        <v>1</v>
      </c>
      <c r="F80" s="2">
        <v>195</v>
      </c>
      <c r="G80" s="2" t="s">
        <v>9</v>
      </c>
      <c r="H80" s="2" t="s">
        <v>24</v>
      </c>
      <c r="I80" s="2" t="s">
        <v>28</v>
      </c>
      <c r="J80" s="2" t="s">
        <v>34</v>
      </c>
      <c r="K80" s="2" t="s">
        <v>44</v>
      </c>
      <c r="L80" s="2">
        <v>1</v>
      </c>
      <c r="M80" s="2" t="s">
        <v>45</v>
      </c>
      <c r="N80" s="2" t="s">
        <v>287</v>
      </c>
      <c r="O80" s="2">
        <v>0</v>
      </c>
      <c r="P80" s="2" t="s">
        <v>409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 t="s">
        <v>289</v>
      </c>
      <c r="W80" s="2" t="s">
        <v>290</v>
      </c>
      <c r="X80" s="2" t="s">
        <v>83</v>
      </c>
      <c r="Y80" s="2">
        <v>1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1</v>
      </c>
      <c r="AH80" s="2">
        <v>1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/>
      <c r="AS80" s="2"/>
      <c r="AT80" s="2"/>
      <c r="AU80" s="2"/>
      <c r="AV80" s="2"/>
      <c r="AW80" s="2"/>
      <c r="AX80" s="2">
        <v>1</v>
      </c>
      <c r="AY80" s="2">
        <v>0</v>
      </c>
      <c r="AZ80" s="2">
        <v>0</v>
      </c>
      <c r="BA80" s="2">
        <v>1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>
        <v>1</v>
      </c>
      <c r="BV80" s="2">
        <v>1</v>
      </c>
      <c r="BW80" s="2">
        <v>1</v>
      </c>
      <c r="BX80" s="2">
        <v>1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1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1</v>
      </c>
      <c r="CM80" s="2">
        <v>0</v>
      </c>
      <c r="CN80" s="2">
        <v>0</v>
      </c>
      <c r="CO80" s="2">
        <v>0</v>
      </c>
      <c r="CP80" s="2">
        <v>0</v>
      </c>
      <c r="CQ80" s="2"/>
      <c r="CR80" s="2"/>
      <c r="CS80" s="2"/>
      <c r="CT80" s="2"/>
      <c r="CU80" s="2"/>
      <c r="CV80" s="2" t="s">
        <v>410</v>
      </c>
      <c r="CW80" s="2"/>
      <c r="CX80" s="2"/>
    </row>
    <row r="81" ht="46" customHeight="1" spans="1:102">
      <c r="A81" s="2" t="s">
        <v>411</v>
      </c>
      <c r="B81" s="2">
        <v>81</v>
      </c>
      <c r="C81" s="2" t="s">
        <v>316</v>
      </c>
      <c r="D81" s="2">
        <v>1</v>
      </c>
      <c r="E81" s="2">
        <v>0</v>
      </c>
      <c r="F81" s="2">
        <v>202</v>
      </c>
      <c r="G81" s="2" t="s">
        <v>9</v>
      </c>
      <c r="H81" s="2" t="s">
        <v>23</v>
      </c>
      <c r="I81" s="2" t="s">
        <v>31</v>
      </c>
      <c r="J81" s="2" t="s">
        <v>34</v>
      </c>
      <c r="K81" s="2" t="s">
        <v>46</v>
      </c>
      <c r="L81" s="2">
        <v>0</v>
      </c>
      <c r="M81" s="2" t="s">
        <v>43</v>
      </c>
      <c r="N81" s="2" t="s">
        <v>287</v>
      </c>
      <c r="O81" s="2">
        <v>0</v>
      </c>
      <c r="P81" s="2" t="s">
        <v>412</v>
      </c>
      <c r="Q81" s="2">
        <v>1</v>
      </c>
      <c r="R81" s="2">
        <v>0</v>
      </c>
      <c r="S81" s="2">
        <v>1</v>
      </c>
      <c r="T81" s="2">
        <v>1</v>
      </c>
      <c r="U81" s="2">
        <v>1</v>
      </c>
      <c r="V81" s="2" t="s">
        <v>293</v>
      </c>
      <c r="W81" s="2" t="s">
        <v>319</v>
      </c>
      <c r="X81" s="2" t="s">
        <v>84</v>
      </c>
      <c r="Y81" s="2">
        <v>0</v>
      </c>
      <c r="Z81" s="2"/>
      <c r="AA81" s="2"/>
      <c r="AB81" s="2"/>
      <c r="AC81" s="2"/>
      <c r="AD81" s="2"/>
      <c r="AE81" s="2"/>
      <c r="AF81" s="2"/>
      <c r="AG81" s="2">
        <v>0</v>
      </c>
      <c r="AH81" s="2"/>
      <c r="AI81" s="2"/>
      <c r="AJ81" s="2"/>
      <c r="AK81" s="2"/>
      <c r="AL81" s="2"/>
      <c r="AM81" s="2"/>
      <c r="AN81" s="2"/>
      <c r="AO81" s="2"/>
      <c r="AP81" s="2"/>
      <c r="AQ81" s="2">
        <v>1</v>
      </c>
      <c r="AR81" s="2">
        <v>0</v>
      </c>
      <c r="AS81" s="2">
        <v>0</v>
      </c>
      <c r="AT81" s="2">
        <v>1</v>
      </c>
      <c r="AU81" s="2">
        <v>0</v>
      </c>
      <c r="AV81" s="2">
        <v>0</v>
      </c>
      <c r="AW81" s="2">
        <v>0</v>
      </c>
      <c r="AX81" s="2">
        <v>1</v>
      </c>
      <c r="AY81" s="2">
        <v>1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>
        <v>1</v>
      </c>
      <c r="BV81" s="2">
        <v>0</v>
      </c>
      <c r="BW81" s="2">
        <v>0</v>
      </c>
      <c r="BX81" s="2">
        <v>1</v>
      </c>
      <c r="BY81" s="2">
        <v>0</v>
      </c>
      <c r="BZ81" s="2">
        <v>1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</row>
    <row r="82" ht="46" customHeight="1" spans="1:102">
      <c r="A82" s="2" t="s">
        <v>413</v>
      </c>
      <c r="B82" s="2">
        <v>82</v>
      </c>
      <c r="C82" s="2" t="s">
        <v>316</v>
      </c>
      <c r="D82" s="2">
        <v>1</v>
      </c>
      <c r="E82" s="2">
        <v>0</v>
      </c>
      <c r="F82" s="2">
        <v>212</v>
      </c>
      <c r="G82" s="2" t="s">
        <v>7</v>
      </c>
      <c r="H82" s="2" t="s">
        <v>14</v>
      </c>
      <c r="I82" s="2" t="s">
        <v>29</v>
      </c>
      <c r="J82" s="2" t="s">
        <v>34</v>
      </c>
      <c r="K82" s="2" t="s">
        <v>46</v>
      </c>
      <c r="L82" s="2">
        <v>0</v>
      </c>
      <c r="M82" s="2" t="s">
        <v>43</v>
      </c>
      <c r="N82" s="2" t="s">
        <v>85</v>
      </c>
      <c r="O82" s="2">
        <v>0</v>
      </c>
      <c r="P82" s="2" t="s">
        <v>336</v>
      </c>
      <c r="Q82" s="2">
        <v>1</v>
      </c>
      <c r="R82" s="2">
        <v>0</v>
      </c>
      <c r="S82" s="2">
        <v>1</v>
      </c>
      <c r="T82" s="2">
        <v>0</v>
      </c>
      <c r="U82" s="2">
        <v>1</v>
      </c>
      <c r="V82" s="2" t="s">
        <v>293</v>
      </c>
      <c r="W82" s="2" t="s">
        <v>299</v>
      </c>
      <c r="X82" s="2" t="s">
        <v>85</v>
      </c>
      <c r="Y82" s="2">
        <v>0</v>
      </c>
      <c r="Z82" s="2"/>
      <c r="AA82" s="2"/>
      <c r="AB82" s="2"/>
      <c r="AC82" s="2"/>
      <c r="AD82" s="2"/>
      <c r="AE82" s="2"/>
      <c r="AF82" s="2"/>
      <c r="AG82" s="2">
        <v>0</v>
      </c>
      <c r="AH82" s="2"/>
      <c r="AI82" s="2"/>
      <c r="AJ82" s="2"/>
      <c r="AK82" s="2"/>
      <c r="AL82" s="2"/>
      <c r="AM82" s="2"/>
      <c r="AN82" s="2"/>
      <c r="AO82" s="2"/>
      <c r="AP82" s="2"/>
      <c r="AQ82" s="2">
        <v>1</v>
      </c>
      <c r="AR82" s="2">
        <v>0</v>
      </c>
      <c r="AS82" s="2">
        <v>0</v>
      </c>
      <c r="AT82" s="2">
        <v>0</v>
      </c>
      <c r="AU82" s="2">
        <v>0</v>
      </c>
      <c r="AV82" s="2">
        <v>1</v>
      </c>
      <c r="AW82" s="2">
        <v>0</v>
      </c>
      <c r="AX82" s="2">
        <v>0</v>
      </c>
      <c r="AY82" s="2"/>
      <c r="AZ82" s="2"/>
      <c r="BA82" s="2"/>
      <c r="BB82" s="2"/>
      <c r="BC82" s="2"/>
      <c r="BD82" s="2"/>
      <c r="BE82" s="2"/>
      <c r="BF82" s="2"/>
      <c r="BG82" s="2">
        <v>0</v>
      </c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>
        <v>1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1</v>
      </c>
      <c r="CB82" s="2">
        <v>0</v>
      </c>
      <c r="CC82" s="2">
        <v>0</v>
      </c>
      <c r="CD82" s="2">
        <v>0</v>
      </c>
      <c r="CE82" s="2">
        <v>0</v>
      </c>
      <c r="CF82" s="2">
        <v>1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1</v>
      </c>
      <c r="CP82" s="2">
        <v>0</v>
      </c>
      <c r="CQ82" s="2"/>
      <c r="CR82" s="2"/>
      <c r="CS82" s="2"/>
      <c r="CT82" s="2"/>
      <c r="CU82" s="2"/>
      <c r="CV82" s="2"/>
      <c r="CW82" s="2"/>
      <c r="CX82" s="2"/>
    </row>
    <row r="83" ht="46" customHeight="1" spans="1:102">
      <c r="A83" s="2" t="s">
        <v>414</v>
      </c>
      <c r="B83" s="2">
        <v>83</v>
      </c>
      <c r="C83" s="2" t="s">
        <v>286</v>
      </c>
      <c r="D83" s="2">
        <v>1</v>
      </c>
      <c r="E83" s="2">
        <v>1</v>
      </c>
      <c r="F83" s="2">
        <v>209</v>
      </c>
      <c r="G83" s="2" t="s">
        <v>7</v>
      </c>
      <c r="H83" s="2" t="s">
        <v>23</v>
      </c>
      <c r="I83" s="2" t="s">
        <v>28</v>
      </c>
      <c r="J83" s="2" t="s">
        <v>33</v>
      </c>
      <c r="K83" s="2" t="s">
        <v>46</v>
      </c>
      <c r="L83" s="2">
        <v>0</v>
      </c>
      <c r="M83" s="2" t="s">
        <v>47</v>
      </c>
      <c r="N83" s="2" t="s">
        <v>86</v>
      </c>
      <c r="O83" s="2">
        <v>0</v>
      </c>
      <c r="P83" s="2" t="s">
        <v>323</v>
      </c>
      <c r="Q83" s="2">
        <v>0</v>
      </c>
      <c r="R83" s="2">
        <v>0</v>
      </c>
      <c r="S83" s="2">
        <v>1</v>
      </c>
      <c r="T83" s="2">
        <v>0</v>
      </c>
      <c r="U83" s="2">
        <v>0</v>
      </c>
      <c r="V83" s="2" t="s">
        <v>324</v>
      </c>
      <c r="W83" s="2" t="s">
        <v>325</v>
      </c>
      <c r="X83" s="2" t="s">
        <v>86</v>
      </c>
      <c r="Y83" s="2">
        <v>0</v>
      </c>
      <c r="Z83" s="2"/>
      <c r="AA83" s="2"/>
      <c r="AB83" s="2"/>
      <c r="AC83" s="2"/>
      <c r="AD83" s="2"/>
      <c r="AE83" s="2"/>
      <c r="AF83" s="2"/>
      <c r="AG83" s="2">
        <v>0</v>
      </c>
      <c r="AH83" s="2"/>
      <c r="AI83" s="2"/>
      <c r="AJ83" s="2"/>
      <c r="AK83" s="2"/>
      <c r="AL83" s="2"/>
      <c r="AM83" s="2"/>
      <c r="AN83" s="2"/>
      <c r="AO83" s="2"/>
      <c r="AP83" s="2"/>
      <c r="AQ83" s="2">
        <v>0</v>
      </c>
      <c r="AR83" s="2"/>
      <c r="AS83" s="2"/>
      <c r="AT83" s="2"/>
      <c r="AU83" s="2"/>
      <c r="AV83" s="2"/>
      <c r="AW83" s="2"/>
      <c r="AX83" s="2">
        <v>0</v>
      </c>
      <c r="AY83" s="2"/>
      <c r="AZ83" s="2"/>
      <c r="BA83" s="2"/>
      <c r="BB83" s="2"/>
      <c r="BC83" s="2"/>
      <c r="BD83" s="2"/>
      <c r="BE83" s="2"/>
      <c r="BF83" s="2"/>
      <c r="BG83" s="2">
        <v>0</v>
      </c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>
        <v>1</v>
      </c>
      <c r="BV83" s="2">
        <v>0</v>
      </c>
      <c r="BW83" s="2">
        <v>1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1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1</v>
      </c>
      <c r="CP83" s="2">
        <v>0</v>
      </c>
      <c r="CQ83" s="2"/>
      <c r="CR83" s="2"/>
      <c r="CS83" s="2"/>
      <c r="CT83" s="2"/>
      <c r="CU83" s="2"/>
      <c r="CV83" s="2"/>
      <c r="CW83" s="2"/>
      <c r="CX83" s="2"/>
    </row>
    <row r="84" ht="46" customHeight="1" spans="1:102">
      <c r="A84" s="2" t="s">
        <v>415</v>
      </c>
      <c r="B84" s="2">
        <v>84</v>
      </c>
      <c r="C84" s="2" t="s">
        <v>286</v>
      </c>
      <c r="D84" s="2">
        <v>1</v>
      </c>
      <c r="E84" s="2">
        <v>1</v>
      </c>
      <c r="F84" s="2">
        <v>354</v>
      </c>
      <c r="G84" s="2" t="s">
        <v>11</v>
      </c>
      <c r="H84" s="2" t="s">
        <v>24</v>
      </c>
      <c r="I84" s="2" t="s">
        <v>28</v>
      </c>
      <c r="J84" s="2" t="s">
        <v>35</v>
      </c>
      <c r="K84" s="2" t="s">
        <v>42</v>
      </c>
      <c r="L84" s="2">
        <v>1</v>
      </c>
      <c r="M84" s="2" t="s">
        <v>47</v>
      </c>
      <c r="N84" s="2" t="s">
        <v>287</v>
      </c>
      <c r="O84" s="2">
        <v>0</v>
      </c>
      <c r="P84" s="2" t="s">
        <v>416</v>
      </c>
      <c r="Q84" s="2">
        <v>0</v>
      </c>
      <c r="R84" s="2">
        <v>0</v>
      </c>
      <c r="S84" s="2">
        <v>0</v>
      </c>
      <c r="T84" s="2">
        <v>1</v>
      </c>
      <c r="U84" s="2">
        <v>1</v>
      </c>
      <c r="V84" s="2" t="s">
        <v>289</v>
      </c>
      <c r="W84" s="2" t="s">
        <v>319</v>
      </c>
      <c r="X84" s="2" t="s">
        <v>83</v>
      </c>
      <c r="Y84" s="2">
        <v>1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1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1</v>
      </c>
      <c r="AQ84" s="2">
        <v>0</v>
      </c>
      <c r="AR84" s="2"/>
      <c r="AS84" s="2"/>
      <c r="AT84" s="2"/>
      <c r="AU84" s="2"/>
      <c r="AV84" s="2"/>
      <c r="AW84" s="2"/>
      <c r="AX84" s="2">
        <v>1</v>
      </c>
      <c r="AY84" s="2">
        <v>0</v>
      </c>
      <c r="AZ84" s="2">
        <v>1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1</v>
      </c>
      <c r="BG84" s="2">
        <v>0</v>
      </c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>
        <v>1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1</v>
      </c>
      <c r="CD84" s="2">
        <v>1</v>
      </c>
      <c r="CE84" s="2">
        <v>0</v>
      </c>
      <c r="CF84" s="2">
        <v>0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 t="s">
        <v>417</v>
      </c>
      <c r="CS84" s="2">
        <v>3</v>
      </c>
      <c r="CT84" s="2" t="s">
        <v>47</v>
      </c>
      <c r="CU84" s="2"/>
      <c r="CV84" s="2" t="s">
        <v>418</v>
      </c>
      <c r="CW84" s="2">
        <v>5</v>
      </c>
      <c r="CX84" s="2" t="s">
        <v>146</v>
      </c>
    </row>
    <row r="85" ht="46" customHeight="1" spans="1:102">
      <c r="A85" s="2" t="s">
        <v>419</v>
      </c>
      <c r="B85" s="2">
        <v>85</v>
      </c>
      <c r="C85" s="2" t="s">
        <v>316</v>
      </c>
      <c r="D85" s="2">
        <v>1</v>
      </c>
      <c r="E85" s="2">
        <v>0</v>
      </c>
      <c r="F85" s="2">
        <v>160</v>
      </c>
      <c r="G85" s="2" t="s">
        <v>7</v>
      </c>
      <c r="H85" s="2" t="s">
        <v>24</v>
      </c>
      <c r="I85" s="2" t="s">
        <v>30</v>
      </c>
      <c r="J85" s="2" t="s">
        <v>35</v>
      </c>
      <c r="K85" s="2" t="s">
        <v>44</v>
      </c>
      <c r="L85" s="2">
        <v>1</v>
      </c>
      <c r="M85" s="2" t="s">
        <v>43</v>
      </c>
      <c r="N85" s="2" t="s">
        <v>85</v>
      </c>
      <c r="O85" s="2">
        <v>0</v>
      </c>
      <c r="P85" s="2" t="s">
        <v>321</v>
      </c>
      <c r="Q85" s="2">
        <v>1</v>
      </c>
      <c r="R85" s="2">
        <v>0</v>
      </c>
      <c r="S85" s="2">
        <v>1</v>
      </c>
      <c r="T85" s="2">
        <v>1</v>
      </c>
      <c r="U85" s="2">
        <v>1</v>
      </c>
      <c r="V85" s="2" t="s">
        <v>289</v>
      </c>
      <c r="W85" s="2" t="s">
        <v>299</v>
      </c>
      <c r="X85" s="2" t="s">
        <v>85</v>
      </c>
      <c r="Y85" s="2">
        <v>1</v>
      </c>
      <c r="Z85" s="2">
        <v>0</v>
      </c>
      <c r="AA85" s="2">
        <v>0</v>
      </c>
      <c r="AB85" s="2">
        <v>0</v>
      </c>
      <c r="AC85" s="2">
        <v>0</v>
      </c>
      <c r="AD85" s="2">
        <v>1</v>
      </c>
      <c r="AE85" s="2">
        <v>1</v>
      </c>
      <c r="AF85" s="2">
        <v>0</v>
      </c>
      <c r="AG85" s="2">
        <v>1</v>
      </c>
      <c r="AH85" s="2">
        <v>0</v>
      </c>
      <c r="AI85" s="2">
        <v>1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1</v>
      </c>
      <c r="AQ85" s="2">
        <v>1</v>
      </c>
      <c r="AR85" s="2">
        <v>0</v>
      </c>
      <c r="AS85" s="2">
        <v>0</v>
      </c>
      <c r="AT85" s="2">
        <v>0</v>
      </c>
      <c r="AU85" s="2">
        <v>1</v>
      </c>
      <c r="AV85" s="2">
        <v>0</v>
      </c>
      <c r="AW85" s="2">
        <v>0</v>
      </c>
      <c r="AX85" s="2">
        <v>0</v>
      </c>
      <c r="AY85" s="2"/>
      <c r="AZ85" s="2"/>
      <c r="BA85" s="2"/>
      <c r="BB85" s="2"/>
      <c r="BC85" s="2"/>
      <c r="BD85" s="2"/>
      <c r="BE85" s="2"/>
      <c r="BF85" s="2"/>
      <c r="BG85" s="2">
        <v>0</v>
      </c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>
        <v>1</v>
      </c>
      <c r="BV85" s="2">
        <v>0</v>
      </c>
      <c r="BW85" s="2">
        <v>0</v>
      </c>
      <c r="BX85" s="2">
        <v>1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</row>
    <row r="86" ht="46" customHeight="1" spans="1:102">
      <c r="A86" s="2" t="s">
        <v>420</v>
      </c>
      <c r="B86" s="2">
        <v>86</v>
      </c>
      <c r="C86" s="2" t="s">
        <v>316</v>
      </c>
      <c r="D86" s="2">
        <v>1</v>
      </c>
      <c r="E86" s="2">
        <v>0</v>
      </c>
      <c r="F86" s="2">
        <v>181</v>
      </c>
      <c r="G86" s="2" t="s">
        <v>7</v>
      </c>
      <c r="H86" s="2" t="s">
        <v>23</v>
      </c>
      <c r="I86" s="2" t="s">
        <v>29</v>
      </c>
      <c r="J86" s="2" t="s">
        <v>35</v>
      </c>
      <c r="K86" s="2" t="s">
        <v>46</v>
      </c>
      <c r="L86" s="2">
        <v>0</v>
      </c>
      <c r="M86" s="2" t="s">
        <v>43</v>
      </c>
      <c r="N86" s="2" t="s">
        <v>85</v>
      </c>
      <c r="O86" s="2">
        <v>0</v>
      </c>
      <c r="P86" s="2" t="s">
        <v>346</v>
      </c>
      <c r="Q86" s="2">
        <v>1</v>
      </c>
      <c r="R86" s="2">
        <v>0</v>
      </c>
      <c r="S86" s="2">
        <v>1</v>
      </c>
      <c r="T86" s="2">
        <v>0</v>
      </c>
      <c r="U86" s="2">
        <v>0</v>
      </c>
      <c r="V86" s="2" t="s">
        <v>293</v>
      </c>
      <c r="W86" s="2" t="s">
        <v>299</v>
      </c>
      <c r="X86" s="2" t="s">
        <v>85</v>
      </c>
      <c r="Y86" s="2">
        <v>0</v>
      </c>
      <c r="Z86" s="2"/>
      <c r="AA86" s="2"/>
      <c r="AB86" s="2"/>
      <c r="AC86" s="2"/>
      <c r="AD86" s="2"/>
      <c r="AE86" s="2"/>
      <c r="AF86" s="2"/>
      <c r="AG86" s="2">
        <v>0</v>
      </c>
      <c r="AH86" s="2"/>
      <c r="AI86" s="2"/>
      <c r="AJ86" s="2"/>
      <c r="AK86" s="2"/>
      <c r="AL86" s="2"/>
      <c r="AM86" s="2"/>
      <c r="AN86" s="2"/>
      <c r="AO86" s="2"/>
      <c r="AP86" s="2"/>
      <c r="AQ86" s="2">
        <v>1</v>
      </c>
      <c r="AR86" s="2">
        <v>0</v>
      </c>
      <c r="AS86" s="2">
        <v>0</v>
      </c>
      <c r="AT86" s="2">
        <v>1</v>
      </c>
      <c r="AU86" s="2">
        <v>0</v>
      </c>
      <c r="AV86" s="2">
        <v>0</v>
      </c>
      <c r="AW86" s="2">
        <v>0</v>
      </c>
      <c r="AX86" s="2">
        <v>0</v>
      </c>
      <c r="AY86" s="2"/>
      <c r="AZ86" s="2"/>
      <c r="BA86" s="2"/>
      <c r="BB86" s="2"/>
      <c r="BC86" s="2"/>
      <c r="BD86" s="2"/>
      <c r="BE86" s="2"/>
      <c r="BF86" s="2"/>
      <c r="BG86" s="2">
        <v>0</v>
      </c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>
        <v>1</v>
      </c>
      <c r="BV86" s="2">
        <v>0</v>
      </c>
      <c r="BW86" s="2">
        <v>0</v>
      </c>
      <c r="BX86" s="2">
        <v>1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1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1</v>
      </c>
      <c r="CP86" s="2">
        <v>0</v>
      </c>
      <c r="CQ86" s="2"/>
      <c r="CR86" s="2"/>
      <c r="CS86" s="2"/>
      <c r="CT86" s="2"/>
      <c r="CU86" s="2"/>
      <c r="CV86" s="2"/>
      <c r="CW86" s="2"/>
      <c r="CX86" s="2"/>
    </row>
    <row r="87" ht="46" customHeight="1" spans="1:102">
      <c r="A87" s="2" t="s">
        <v>421</v>
      </c>
      <c r="B87" s="2">
        <v>87</v>
      </c>
      <c r="C87" s="2" t="s">
        <v>316</v>
      </c>
      <c r="D87" s="2">
        <v>1</v>
      </c>
      <c r="E87" s="2">
        <v>0</v>
      </c>
      <c r="F87" s="2">
        <v>226</v>
      </c>
      <c r="G87" s="2" t="s">
        <v>7</v>
      </c>
      <c r="H87" s="2" t="s">
        <v>23</v>
      </c>
      <c r="I87" s="2" t="s">
        <v>29</v>
      </c>
      <c r="J87" s="2" t="s">
        <v>36</v>
      </c>
      <c r="K87" s="2" t="s">
        <v>42</v>
      </c>
      <c r="L87" s="2">
        <v>1</v>
      </c>
      <c r="M87" s="2" t="s">
        <v>45</v>
      </c>
      <c r="N87" s="2" t="s">
        <v>85</v>
      </c>
      <c r="O87" s="2">
        <v>0</v>
      </c>
      <c r="P87" s="2" t="s">
        <v>336</v>
      </c>
      <c r="Q87" s="2">
        <v>1</v>
      </c>
      <c r="R87" s="2">
        <v>0</v>
      </c>
      <c r="S87" s="2">
        <v>1</v>
      </c>
      <c r="T87" s="2">
        <v>0</v>
      </c>
      <c r="U87" s="2">
        <v>1</v>
      </c>
      <c r="V87" s="2" t="s">
        <v>289</v>
      </c>
      <c r="W87" s="2" t="s">
        <v>299</v>
      </c>
      <c r="X87" s="2" t="s">
        <v>85</v>
      </c>
      <c r="Y87" s="2">
        <v>1</v>
      </c>
      <c r="Z87" s="2">
        <v>1</v>
      </c>
      <c r="AA87" s="2">
        <v>0</v>
      </c>
      <c r="AB87" s="2">
        <v>1</v>
      </c>
      <c r="AC87" s="2">
        <v>0</v>
      </c>
      <c r="AD87" s="2">
        <v>0</v>
      </c>
      <c r="AE87" s="2">
        <v>1</v>
      </c>
      <c r="AF87" s="2">
        <v>0</v>
      </c>
      <c r="AG87" s="2">
        <v>1</v>
      </c>
      <c r="AH87" s="2">
        <v>0</v>
      </c>
      <c r="AI87" s="2">
        <v>1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1</v>
      </c>
      <c r="AQ87" s="2">
        <v>0</v>
      </c>
      <c r="AR87" s="2"/>
      <c r="AS87" s="2"/>
      <c r="AT87" s="2"/>
      <c r="AU87" s="2"/>
      <c r="AV87" s="2"/>
      <c r="AW87" s="2"/>
      <c r="AX87" s="2">
        <v>0</v>
      </c>
      <c r="AY87" s="2"/>
      <c r="AZ87" s="2"/>
      <c r="BA87" s="2"/>
      <c r="BB87" s="2"/>
      <c r="BC87" s="2"/>
      <c r="BD87" s="2"/>
      <c r="BE87" s="2"/>
      <c r="BF87" s="2"/>
      <c r="BG87" s="2">
        <v>0</v>
      </c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>
        <v>1</v>
      </c>
      <c r="BV87" s="2">
        <v>1</v>
      </c>
      <c r="BW87" s="2">
        <v>1</v>
      </c>
      <c r="BX87" s="2">
        <v>1</v>
      </c>
      <c r="BY87" s="2">
        <v>0</v>
      </c>
      <c r="BZ87" s="2">
        <v>0</v>
      </c>
      <c r="CA87" s="2">
        <v>0</v>
      </c>
      <c r="CB87" s="2">
        <v>0</v>
      </c>
      <c r="CC87" s="2">
        <v>1</v>
      </c>
      <c r="CD87" s="2">
        <v>0</v>
      </c>
      <c r="CE87" s="2">
        <v>0</v>
      </c>
      <c r="CF87" s="2">
        <v>1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1</v>
      </c>
      <c r="CP87" s="2">
        <v>0</v>
      </c>
      <c r="CQ87" s="2"/>
      <c r="CR87" s="2"/>
      <c r="CS87" s="2"/>
      <c r="CT87" s="2"/>
      <c r="CU87" s="2"/>
      <c r="CV87" s="2"/>
      <c r="CW87" s="2"/>
      <c r="CX87" s="2"/>
    </row>
    <row r="88" ht="46" customHeight="1" spans="1:102">
      <c r="A88" s="2" t="s">
        <v>422</v>
      </c>
      <c r="B88" s="2">
        <v>88</v>
      </c>
      <c r="C88" s="2" t="s">
        <v>316</v>
      </c>
      <c r="D88" s="2">
        <v>1</v>
      </c>
      <c r="E88" s="2">
        <v>0</v>
      </c>
      <c r="F88" s="2">
        <v>236</v>
      </c>
      <c r="G88" s="2" t="s">
        <v>9</v>
      </c>
      <c r="H88" s="2" t="s">
        <v>24</v>
      </c>
      <c r="I88" s="2" t="s">
        <v>28</v>
      </c>
      <c r="J88" s="2" t="s">
        <v>35</v>
      </c>
      <c r="K88" s="2" t="s">
        <v>49</v>
      </c>
      <c r="L88" s="2">
        <v>1</v>
      </c>
      <c r="M88" s="2" t="s">
        <v>45</v>
      </c>
      <c r="N88" s="2" t="s">
        <v>287</v>
      </c>
      <c r="O88" s="2">
        <v>0</v>
      </c>
      <c r="P88" s="2" t="s">
        <v>380</v>
      </c>
      <c r="Q88" s="2">
        <v>1</v>
      </c>
      <c r="R88" s="2">
        <v>0</v>
      </c>
      <c r="S88" s="2">
        <v>1</v>
      </c>
      <c r="T88" s="2">
        <v>0</v>
      </c>
      <c r="U88" s="2">
        <v>1</v>
      </c>
      <c r="V88" s="2" t="s">
        <v>293</v>
      </c>
      <c r="W88" s="2" t="s">
        <v>294</v>
      </c>
      <c r="X88" s="2" t="s">
        <v>84</v>
      </c>
      <c r="Y88" s="2">
        <v>1</v>
      </c>
      <c r="Z88" s="2">
        <v>0</v>
      </c>
      <c r="AA88" s="2">
        <v>0</v>
      </c>
      <c r="AB88" s="2">
        <v>1</v>
      </c>
      <c r="AC88" s="2">
        <v>1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1</v>
      </c>
      <c r="AQ88" s="2">
        <v>0</v>
      </c>
      <c r="AR88" s="2"/>
      <c r="AS88" s="2"/>
      <c r="AT88" s="2"/>
      <c r="AU88" s="2"/>
      <c r="AV88" s="2"/>
      <c r="AW88" s="2"/>
      <c r="AX88" s="2">
        <v>1</v>
      </c>
      <c r="AY88" s="2">
        <v>1</v>
      </c>
      <c r="AZ88" s="2">
        <v>1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1</v>
      </c>
      <c r="BG88" s="2">
        <v>0</v>
      </c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>
        <v>0</v>
      </c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>
        <v>1</v>
      </c>
      <c r="CG88" s="2">
        <v>0</v>
      </c>
      <c r="CH88" s="2">
        <v>0</v>
      </c>
      <c r="CI88" s="2">
        <v>1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/>
      <c r="CR88" s="2"/>
      <c r="CS88" s="2"/>
      <c r="CT88" s="2"/>
      <c r="CU88" s="2"/>
      <c r="CV88" s="2"/>
      <c r="CW88" s="2"/>
      <c r="CX88" s="2"/>
    </row>
    <row r="89" ht="46" customHeight="1" spans="1:102">
      <c r="A89" s="2" t="s">
        <v>423</v>
      </c>
      <c r="B89" s="2">
        <v>89</v>
      </c>
      <c r="C89" s="2" t="s">
        <v>316</v>
      </c>
      <c r="D89" s="2">
        <v>1</v>
      </c>
      <c r="E89" s="2">
        <v>0</v>
      </c>
      <c r="F89" s="2">
        <v>210</v>
      </c>
      <c r="G89" s="2" t="s">
        <v>14</v>
      </c>
      <c r="H89" s="2" t="s">
        <v>24</v>
      </c>
      <c r="I89" s="2" t="s">
        <v>30</v>
      </c>
      <c r="J89" s="2" t="s">
        <v>35</v>
      </c>
      <c r="K89" s="2" t="s">
        <v>46</v>
      </c>
      <c r="L89" s="2">
        <v>0</v>
      </c>
      <c r="M89" s="2" t="s">
        <v>45</v>
      </c>
      <c r="N89" s="2" t="s">
        <v>287</v>
      </c>
      <c r="O89" s="2">
        <v>0</v>
      </c>
      <c r="P89" s="2" t="s">
        <v>424</v>
      </c>
      <c r="Q89" s="2">
        <v>1</v>
      </c>
      <c r="R89" s="2">
        <v>0</v>
      </c>
      <c r="S89" s="2">
        <v>1</v>
      </c>
      <c r="T89" s="2">
        <v>0</v>
      </c>
      <c r="U89" s="2">
        <v>0</v>
      </c>
      <c r="V89" s="2" t="s">
        <v>293</v>
      </c>
      <c r="W89" s="2" t="s">
        <v>302</v>
      </c>
      <c r="X89" s="2" t="s">
        <v>84</v>
      </c>
      <c r="Y89" s="2">
        <v>0</v>
      </c>
      <c r="Z89" s="2"/>
      <c r="AA89" s="2"/>
      <c r="AB89" s="2"/>
      <c r="AC89" s="2"/>
      <c r="AD89" s="2"/>
      <c r="AE89" s="2"/>
      <c r="AF89" s="2"/>
      <c r="AG89" s="2">
        <v>0</v>
      </c>
      <c r="AH89" s="2"/>
      <c r="AI89" s="2"/>
      <c r="AJ89" s="2"/>
      <c r="AK89" s="2"/>
      <c r="AL89" s="2"/>
      <c r="AM89" s="2"/>
      <c r="AN89" s="2"/>
      <c r="AO89" s="2"/>
      <c r="AP89" s="2"/>
      <c r="AQ89" s="2">
        <v>0</v>
      </c>
      <c r="AR89" s="2"/>
      <c r="AS89" s="2"/>
      <c r="AT89" s="2"/>
      <c r="AU89" s="2"/>
      <c r="AV89" s="2"/>
      <c r="AW89" s="2"/>
      <c r="AX89" s="2">
        <v>1</v>
      </c>
      <c r="AY89" s="2">
        <v>0</v>
      </c>
      <c r="AZ89" s="2">
        <v>0</v>
      </c>
      <c r="BA89" s="2">
        <v>0</v>
      </c>
      <c r="BB89" s="2">
        <v>0</v>
      </c>
      <c r="BC89" s="2">
        <v>1</v>
      </c>
      <c r="BD89" s="2">
        <v>1</v>
      </c>
      <c r="BE89" s="2">
        <v>0</v>
      </c>
      <c r="BF89" s="2">
        <v>1</v>
      </c>
      <c r="BG89" s="2">
        <v>1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1</v>
      </c>
      <c r="BR89" s="2">
        <v>1</v>
      </c>
      <c r="BS89" s="2">
        <v>0</v>
      </c>
      <c r="BT89" s="2">
        <v>0</v>
      </c>
      <c r="BU89" s="2">
        <v>1</v>
      </c>
      <c r="BV89" s="2">
        <v>1</v>
      </c>
      <c r="BW89" s="2">
        <v>1</v>
      </c>
      <c r="BX89" s="2">
        <v>1</v>
      </c>
      <c r="BY89" s="2">
        <v>0</v>
      </c>
      <c r="BZ89" s="2">
        <v>1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1</v>
      </c>
      <c r="CG89" s="2">
        <v>0</v>
      </c>
      <c r="CH89" s="2">
        <v>0</v>
      </c>
      <c r="CI89" s="2">
        <v>1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/>
      <c r="CR89" s="2"/>
      <c r="CS89" s="2"/>
      <c r="CT89" s="2"/>
      <c r="CU89" s="2"/>
      <c r="CV89" s="2"/>
      <c r="CW89" s="2"/>
      <c r="CX89" s="2"/>
    </row>
    <row r="90" ht="46" customHeight="1" spans="1:102">
      <c r="A90" s="2" t="s">
        <v>425</v>
      </c>
      <c r="B90" s="2">
        <v>90</v>
      </c>
      <c r="C90" s="2" t="s">
        <v>286</v>
      </c>
      <c r="D90" s="2">
        <v>1</v>
      </c>
      <c r="E90" s="2">
        <v>1</v>
      </c>
      <c r="F90" s="2">
        <v>251</v>
      </c>
      <c r="G90" s="2" t="s">
        <v>7</v>
      </c>
      <c r="H90" s="2" t="s">
        <v>24</v>
      </c>
      <c r="I90" s="2" t="s">
        <v>28</v>
      </c>
      <c r="J90" s="2" t="s">
        <v>36</v>
      </c>
      <c r="K90" s="2" t="s">
        <v>48</v>
      </c>
      <c r="L90" s="2">
        <v>1</v>
      </c>
      <c r="M90" s="2" t="s">
        <v>47</v>
      </c>
      <c r="N90" s="2" t="s">
        <v>86</v>
      </c>
      <c r="O90" s="2">
        <v>0</v>
      </c>
      <c r="P90" s="2" t="s">
        <v>323</v>
      </c>
      <c r="Q90" s="2">
        <v>0</v>
      </c>
      <c r="R90" s="2">
        <v>0</v>
      </c>
      <c r="S90" s="2">
        <v>1</v>
      </c>
      <c r="T90" s="2">
        <v>0</v>
      </c>
      <c r="U90" s="2">
        <v>0</v>
      </c>
      <c r="V90" s="2" t="s">
        <v>324</v>
      </c>
      <c r="W90" s="2" t="s">
        <v>325</v>
      </c>
      <c r="X90" s="2" t="s">
        <v>86</v>
      </c>
      <c r="Y90" s="2">
        <v>1</v>
      </c>
      <c r="Z90" s="2">
        <v>0</v>
      </c>
      <c r="AA90" s="2">
        <v>0</v>
      </c>
      <c r="AB90" s="2">
        <v>1</v>
      </c>
      <c r="AC90" s="2">
        <v>1</v>
      </c>
      <c r="AD90" s="2">
        <v>1</v>
      </c>
      <c r="AE90" s="2">
        <v>0</v>
      </c>
      <c r="AF90" s="2">
        <v>0</v>
      </c>
      <c r="AG90" s="2">
        <v>1</v>
      </c>
      <c r="AH90" s="2">
        <v>0</v>
      </c>
      <c r="AI90" s="2">
        <v>1</v>
      </c>
      <c r="AJ90" s="2">
        <v>0</v>
      </c>
      <c r="AK90" s="2">
        <v>0</v>
      </c>
      <c r="AL90" s="2">
        <v>1</v>
      </c>
      <c r="AM90" s="2">
        <v>0</v>
      </c>
      <c r="AN90" s="2">
        <v>1</v>
      </c>
      <c r="AO90" s="2">
        <v>0</v>
      </c>
      <c r="AP90" s="2">
        <v>1</v>
      </c>
      <c r="AQ90" s="2">
        <v>0</v>
      </c>
      <c r="AR90" s="2"/>
      <c r="AS90" s="2"/>
      <c r="AT90" s="2"/>
      <c r="AU90" s="2"/>
      <c r="AV90" s="2"/>
      <c r="AW90" s="2"/>
      <c r="AX90" s="2">
        <v>0</v>
      </c>
      <c r="AY90" s="2"/>
      <c r="AZ90" s="2"/>
      <c r="BA90" s="2"/>
      <c r="BB90" s="2"/>
      <c r="BC90" s="2"/>
      <c r="BD90" s="2"/>
      <c r="BE90" s="2"/>
      <c r="BF90" s="2"/>
      <c r="BG90" s="2">
        <v>0</v>
      </c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>
        <v>1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1</v>
      </c>
      <c r="CB90" s="2">
        <v>0</v>
      </c>
      <c r="CC90" s="2">
        <v>0</v>
      </c>
      <c r="CD90" s="2">
        <v>0</v>
      </c>
      <c r="CE90" s="2">
        <v>0</v>
      </c>
      <c r="CF90" s="2">
        <v>1</v>
      </c>
      <c r="CG90" s="2">
        <v>0</v>
      </c>
      <c r="CH90" s="2">
        <v>1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/>
      <c r="CR90" s="2"/>
      <c r="CS90" s="2"/>
      <c r="CT90" s="2"/>
      <c r="CU90" s="2"/>
      <c r="CV90" s="2"/>
      <c r="CW90" s="2"/>
      <c r="CX90" s="2"/>
    </row>
    <row r="91" ht="46" customHeight="1" spans="1:102">
      <c r="A91" s="2" t="s">
        <v>426</v>
      </c>
      <c r="B91" s="2">
        <v>91</v>
      </c>
      <c r="C91" s="2" t="s">
        <v>316</v>
      </c>
      <c r="D91" s="2">
        <v>1</v>
      </c>
      <c r="E91" s="2">
        <v>0</v>
      </c>
      <c r="F91" s="2">
        <v>190</v>
      </c>
      <c r="G91" s="2" t="s">
        <v>7</v>
      </c>
      <c r="H91" s="2" t="s">
        <v>24</v>
      </c>
      <c r="I91" s="2" t="s">
        <v>29</v>
      </c>
      <c r="J91" s="2" t="s">
        <v>34</v>
      </c>
      <c r="K91" s="2" t="s">
        <v>44</v>
      </c>
      <c r="L91" s="2">
        <v>1</v>
      </c>
      <c r="M91" s="2" t="s">
        <v>45</v>
      </c>
      <c r="N91" s="2" t="s">
        <v>85</v>
      </c>
      <c r="O91" s="2">
        <v>0</v>
      </c>
      <c r="P91" s="2" t="s">
        <v>351</v>
      </c>
      <c r="Q91" s="2">
        <v>1</v>
      </c>
      <c r="R91" s="2">
        <v>0</v>
      </c>
      <c r="S91" s="2">
        <v>1</v>
      </c>
      <c r="T91" s="2">
        <v>1</v>
      </c>
      <c r="U91" s="2">
        <v>0</v>
      </c>
      <c r="V91" s="2" t="s">
        <v>293</v>
      </c>
      <c r="W91" s="2" t="s">
        <v>299</v>
      </c>
      <c r="X91" s="2" t="s">
        <v>85</v>
      </c>
      <c r="Y91" s="2">
        <v>1</v>
      </c>
      <c r="Z91" s="2">
        <v>0</v>
      </c>
      <c r="AA91" s="2">
        <v>0</v>
      </c>
      <c r="AB91" s="2">
        <v>1</v>
      </c>
      <c r="AC91" s="2">
        <v>0</v>
      </c>
      <c r="AD91" s="2">
        <v>0</v>
      </c>
      <c r="AE91" s="2">
        <v>0</v>
      </c>
      <c r="AF91" s="2">
        <v>0</v>
      </c>
      <c r="AG91" s="2">
        <v>1</v>
      </c>
      <c r="AH91" s="2">
        <v>0</v>
      </c>
      <c r="AI91" s="2">
        <v>1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/>
      <c r="AS91" s="2"/>
      <c r="AT91" s="2"/>
      <c r="AU91" s="2"/>
      <c r="AV91" s="2"/>
      <c r="AW91" s="2"/>
      <c r="AX91" s="2">
        <v>0</v>
      </c>
      <c r="AY91" s="2"/>
      <c r="AZ91" s="2"/>
      <c r="BA91" s="2"/>
      <c r="BB91" s="2"/>
      <c r="BC91" s="2"/>
      <c r="BD91" s="2"/>
      <c r="BE91" s="2"/>
      <c r="BF91" s="2"/>
      <c r="BG91" s="2">
        <v>0</v>
      </c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>
        <v>1</v>
      </c>
      <c r="BV91" s="2">
        <v>0</v>
      </c>
      <c r="BW91" s="2">
        <v>1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1</v>
      </c>
      <c r="CE91" s="2">
        <v>0</v>
      </c>
      <c r="CF91" s="2">
        <v>0</v>
      </c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</row>
    <row r="92" ht="46" customHeight="1" spans="1:102">
      <c r="A92" s="2" t="s">
        <v>427</v>
      </c>
      <c r="B92" s="2">
        <v>92</v>
      </c>
      <c r="C92" s="2" t="s">
        <v>286</v>
      </c>
      <c r="D92" s="2">
        <v>1</v>
      </c>
      <c r="E92" s="2">
        <v>1</v>
      </c>
      <c r="F92" s="2">
        <v>163</v>
      </c>
      <c r="G92" s="2" t="s">
        <v>9</v>
      </c>
      <c r="H92" s="2" t="s">
        <v>24</v>
      </c>
      <c r="I92" s="2" t="s">
        <v>28</v>
      </c>
      <c r="J92" s="2" t="s">
        <v>33</v>
      </c>
      <c r="K92" s="2" t="s">
        <v>46</v>
      </c>
      <c r="L92" s="2">
        <v>0</v>
      </c>
      <c r="M92" s="2" t="s">
        <v>45</v>
      </c>
      <c r="N92" s="2" t="s">
        <v>86</v>
      </c>
      <c r="O92" s="2">
        <v>0</v>
      </c>
      <c r="P92" s="2" t="s">
        <v>366</v>
      </c>
      <c r="Q92" s="2">
        <v>0</v>
      </c>
      <c r="R92" s="2">
        <v>0</v>
      </c>
      <c r="S92" s="2">
        <v>1</v>
      </c>
      <c r="T92" s="2">
        <v>0</v>
      </c>
      <c r="U92" s="2">
        <v>0</v>
      </c>
      <c r="V92" s="2" t="s">
        <v>324</v>
      </c>
      <c r="W92" s="2" t="s">
        <v>325</v>
      </c>
      <c r="X92" s="2" t="s">
        <v>86</v>
      </c>
      <c r="Y92" s="2">
        <v>0</v>
      </c>
      <c r="Z92" s="2"/>
      <c r="AA92" s="2"/>
      <c r="AB92" s="2"/>
      <c r="AC92" s="2"/>
      <c r="AD92" s="2"/>
      <c r="AE92" s="2"/>
      <c r="AF92" s="2"/>
      <c r="AG92" s="2">
        <v>0</v>
      </c>
      <c r="AH92" s="2"/>
      <c r="AI92" s="2"/>
      <c r="AJ92" s="2"/>
      <c r="AK92" s="2"/>
      <c r="AL92" s="2"/>
      <c r="AM92" s="2"/>
      <c r="AN92" s="2"/>
      <c r="AO92" s="2"/>
      <c r="AP92" s="2"/>
      <c r="AQ92" s="2">
        <v>0</v>
      </c>
      <c r="AR92" s="2"/>
      <c r="AS92" s="2"/>
      <c r="AT92" s="2"/>
      <c r="AU92" s="2"/>
      <c r="AV92" s="2"/>
      <c r="AW92" s="2"/>
      <c r="AX92" s="2">
        <v>0</v>
      </c>
      <c r="AY92" s="2"/>
      <c r="AZ92" s="2"/>
      <c r="BA92" s="2"/>
      <c r="BB92" s="2"/>
      <c r="BC92" s="2"/>
      <c r="BD92" s="2"/>
      <c r="BE92" s="2"/>
      <c r="BF92" s="2"/>
      <c r="BG92" s="2">
        <v>0</v>
      </c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>
        <v>0</v>
      </c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>
        <v>1</v>
      </c>
      <c r="CG92" s="2">
        <v>0</v>
      </c>
      <c r="CH92" s="2">
        <v>0</v>
      </c>
      <c r="CI92" s="2">
        <v>0</v>
      </c>
      <c r="CJ92" s="2">
        <v>1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/>
      <c r="CR92" s="2"/>
      <c r="CS92" s="2"/>
      <c r="CT92" s="2"/>
      <c r="CU92" s="2"/>
      <c r="CV92" s="2"/>
      <c r="CW92" s="2"/>
      <c r="CX92" s="2"/>
    </row>
    <row r="93" ht="46" customHeight="1" spans="1:102">
      <c r="A93" s="2" t="s">
        <v>428</v>
      </c>
      <c r="B93" s="2">
        <v>93</v>
      </c>
      <c r="C93" s="2" t="s">
        <v>316</v>
      </c>
      <c r="D93" s="2">
        <v>1</v>
      </c>
      <c r="E93" s="2">
        <v>0</v>
      </c>
      <c r="F93" s="2">
        <v>229</v>
      </c>
      <c r="G93" s="2" t="s">
        <v>7</v>
      </c>
      <c r="H93" s="2" t="s">
        <v>23</v>
      </c>
      <c r="I93" s="2" t="s">
        <v>28</v>
      </c>
      <c r="J93" s="2" t="s">
        <v>37</v>
      </c>
      <c r="K93" s="2" t="s">
        <v>46</v>
      </c>
      <c r="L93" s="2">
        <v>0</v>
      </c>
      <c r="M93" s="2" t="s">
        <v>45</v>
      </c>
      <c r="N93" s="2" t="s">
        <v>85</v>
      </c>
      <c r="O93" s="2">
        <v>0</v>
      </c>
      <c r="P93" s="2" t="s">
        <v>346</v>
      </c>
      <c r="Q93" s="2">
        <v>1</v>
      </c>
      <c r="R93" s="2">
        <v>0</v>
      </c>
      <c r="S93" s="2">
        <v>1</v>
      </c>
      <c r="T93" s="2">
        <v>0</v>
      </c>
      <c r="U93" s="2">
        <v>0</v>
      </c>
      <c r="V93" s="2" t="s">
        <v>293</v>
      </c>
      <c r="W93" s="2" t="s">
        <v>299</v>
      </c>
      <c r="X93" s="2" t="s">
        <v>85</v>
      </c>
      <c r="Y93" s="2">
        <v>0</v>
      </c>
      <c r="Z93" s="2"/>
      <c r="AA93" s="2"/>
      <c r="AB93" s="2"/>
      <c r="AC93" s="2"/>
      <c r="AD93" s="2"/>
      <c r="AE93" s="2"/>
      <c r="AF93" s="2"/>
      <c r="AG93" s="2">
        <v>0</v>
      </c>
      <c r="AH93" s="2"/>
      <c r="AI93" s="2"/>
      <c r="AJ93" s="2"/>
      <c r="AK93" s="2"/>
      <c r="AL93" s="2"/>
      <c r="AM93" s="2"/>
      <c r="AN93" s="2"/>
      <c r="AO93" s="2"/>
      <c r="AP93" s="2"/>
      <c r="AQ93" s="2">
        <v>0</v>
      </c>
      <c r="AR93" s="2"/>
      <c r="AS93" s="2"/>
      <c r="AT93" s="2"/>
      <c r="AU93" s="2"/>
      <c r="AV93" s="2"/>
      <c r="AW93" s="2"/>
      <c r="AX93" s="2">
        <v>0</v>
      </c>
      <c r="AY93" s="2"/>
      <c r="AZ93" s="2"/>
      <c r="BA93" s="2"/>
      <c r="BB93" s="2"/>
      <c r="BC93" s="2"/>
      <c r="BD93" s="2"/>
      <c r="BE93" s="2"/>
      <c r="BF93" s="2"/>
      <c r="BG93" s="2">
        <v>0</v>
      </c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>
        <v>1</v>
      </c>
      <c r="BV93" s="2">
        <v>1</v>
      </c>
      <c r="BW93" s="2">
        <v>1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1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1</v>
      </c>
      <c r="CP93" s="2">
        <v>0</v>
      </c>
      <c r="CQ93" s="2"/>
      <c r="CR93" s="2"/>
      <c r="CS93" s="2"/>
      <c r="CT93" s="2"/>
      <c r="CU93" s="2"/>
      <c r="CV93" s="2"/>
      <c r="CW93" s="2"/>
      <c r="CX93" s="2"/>
    </row>
    <row r="94" ht="46" customHeight="1" spans="1:102">
      <c r="A94" s="2" t="s">
        <v>429</v>
      </c>
      <c r="B94" s="2">
        <v>94</v>
      </c>
      <c r="C94" s="2" t="s">
        <v>316</v>
      </c>
      <c r="D94" s="2">
        <v>1</v>
      </c>
      <c r="E94" s="2">
        <v>0</v>
      </c>
      <c r="F94" s="2">
        <v>190</v>
      </c>
      <c r="G94" s="2" t="s">
        <v>9</v>
      </c>
      <c r="H94" s="2" t="s">
        <v>24</v>
      </c>
      <c r="I94" s="2" t="s">
        <v>28</v>
      </c>
      <c r="J94" s="2" t="s">
        <v>35</v>
      </c>
      <c r="K94" s="2" t="s">
        <v>46</v>
      </c>
      <c r="L94" s="2">
        <v>0</v>
      </c>
      <c r="M94" s="2" t="s">
        <v>45</v>
      </c>
      <c r="N94" s="2" t="s">
        <v>85</v>
      </c>
      <c r="O94" s="2">
        <v>0</v>
      </c>
      <c r="P94" s="2" t="s">
        <v>380</v>
      </c>
      <c r="Q94" s="2">
        <v>1</v>
      </c>
      <c r="R94" s="2">
        <v>0</v>
      </c>
      <c r="S94" s="2">
        <v>1</v>
      </c>
      <c r="T94" s="2">
        <v>0</v>
      </c>
      <c r="U94" s="2">
        <v>1</v>
      </c>
      <c r="V94" s="2" t="s">
        <v>293</v>
      </c>
      <c r="W94" s="2" t="s">
        <v>299</v>
      </c>
      <c r="X94" s="2" t="s">
        <v>85</v>
      </c>
      <c r="Y94" s="2">
        <v>0</v>
      </c>
      <c r="Z94" s="2"/>
      <c r="AA94" s="2"/>
      <c r="AB94" s="2"/>
      <c r="AC94" s="2"/>
      <c r="AD94" s="2"/>
      <c r="AE94" s="2"/>
      <c r="AF94" s="2"/>
      <c r="AG94" s="2">
        <v>0</v>
      </c>
      <c r="AH94" s="2"/>
      <c r="AI94" s="2"/>
      <c r="AJ94" s="2"/>
      <c r="AK94" s="2"/>
      <c r="AL94" s="2"/>
      <c r="AM94" s="2"/>
      <c r="AN94" s="2"/>
      <c r="AO94" s="2"/>
      <c r="AP94" s="2"/>
      <c r="AQ94" s="2">
        <v>0</v>
      </c>
      <c r="AR94" s="2"/>
      <c r="AS94" s="2"/>
      <c r="AT94" s="2"/>
      <c r="AU94" s="2"/>
      <c r="AV94" s="2"/>
      <c r="AW94" s="2"/>
      <c r="AX94" s="2">
        <v>0</v>
      </c>
      <c r="AY94" s="2"/>
      <c r="AZ94" s="2"/>
      <c r="BA94" s="2"/>
      <c r="BB94" s="2"/>
      <c r="BC94" s="2"/>
      <c r="BD94" s="2"/>
      <c r="BE94" s="2"/>
      <c r="BF94" s="2"/>
      <c r="BG94" s="2">
        <v>0</v>
      </c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>
        <v>0</v>
      </c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>
        <v>1</v>
      </c>
      <c r="CG94" s="2">
        <v>0</v>
      </c>
      <c r="CH94" s="2">
        <v>1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/>
      <c r="CR94" s="2"/>
      <c r="CS94" s="2"/>
      <c r="CT94" s="2"/>
      <c r="CU94" s="2"/>
      <c r="CV94" s="2"/>
      <c r="CW94" s="2"/>
      <c r="CX94" s="2"/>
    </row>
    <row r="95" ht="46" customHeight="1" spans="1:102">
      <c r="A95" s="2" t="s">
        <v>430</v>
      </c>
      <c r="B95" s="2">
        <v>95</v>
      </c>
      <c r="C95" s="2" t="s">
        <v>316</v>
      </c>
      <c r="D95" s="2">
        <v>1</v>
      </c>
      <c r="E95" s="2">
        <v>0</v>
      </c>
      <c r="F95" s="2">
        <v>248</v>
      </c>
      <c r="G95" s="2" t="s">
        <v>14</v>
      </c>
      <c r="H95" s="2" t="s">
        <v>23</v>
      </c>
      <c r="I95" s="2" t="s">
        <v>28</v>
      </c>
      <c r="J95" s="2" t="s">
        <v>37</v>
      </c>
      <c r="K95" s="2" t="s">
        <v>46</v>
      </c>
      <c r="L95" s="2">
        <v>0</v>
      </c>
      <c r="M95" s="2" t="s">
        <v>43</v>
      </c>
      <c r="N95" s="2" t="s">
        <v>85</v>
      </c>
      <c r="O95" s="2">
        <v>0</v>
      </c>
      <c r="P95" s="2" t="s">
        <v>431</v>
      </c>
      <c r="Q95" s="2">
        <v>1</v>
      </c>
      <c r="R95" s="2">
        <v>0</v>
      </c>
      <c r="S95" s="2">
        <v>1</v>
      </c>
      <c r="T95" s="2">
        <v>1</v>
      </c>
      <c r="U95" s="2">
        <v>1</v>
      </c>
      <c r="V95" s="2" t="s">
        <v>293</v>
      </c>
      <c r="W95" s="2" t="s">
        <v>299</v>
      </c>
      <c r="X95" s="2" t="s">
        <v>85</v>
      </c>
      <c r="Y95" s="2">
        <v>0</v>
      </c>
      <c r="Z95" s="2"/>
      <c r="AA95" s="2"/>
      <c r="AB95" s="2"/>
      <c r="AC95" s="2"/>
      <c r="AD95" s="2"/>
      <c r="AE95" s="2"/>
      <c r="AF95" s="2"/>
      <c r="AG95" s="2">
        <v>0</v>
      </c>
      <c r="AH95" s="2"/>
      <c r="AI95" s="2"/>
      <c r="AJ95" s="2"/>
      <c r="AK95" s="2"/>
      <c r="AL95" s="2"/>
      <c r="AM95" s="2"/>
      <c r="AN95" s="2"/>
      <c r="AO95" s="2"/>
      <c r="AP95" s="2"/>
      <c r="AQ95" s="2">
        <v>1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1</v>
      </c>
      <c r="AX95" s="2">
        <v>0</v>
      </c>
      <c r="AY95" s="2"/>
      <c r="AZ95" s="2"/>
      <c r="BA95" s="2"/>
      <c r="BB95" s="2"/>
      <c r="BC95" s="2"/>
      <c r="BD95" s="2"/>
      <c r="BE95" s="2"/>
      <c r="BF95" s="2"/>
      <c r="BG95" s="2">
        <v>0</v>
      </c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>
        <v>1</v>
      </c>
      <c r="BV95" s="2">
        <v>1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</row>
    <row r="96" ht="46" customHeight="1" spans="1:102">
      <c r="A96" s="2" t="s">
        <v>432</v>
      </c>
      <c r="B96" s="2">
        <v>96</v>
      </c>
      <c r="C96" s="2" t="s">
        <v>316</v>
      </c>
      <c r="D96" s="2">
        <v>1</v>
      </c>
      <c r="E96" s="2">
        <v>0</v>
      </c>
      <c r="F96" s="2">
        <v>251</v>
      </c>
      <c r="G96" s="2" t="s">
        <v>9</v>
      </c>
      <c r="H96" s="2" t="s">
        <v>24</v>
      </c>
      <c r="I96" s="2" t="s">
        <v>28</v>
      </c>
      <c r="J96" s="2" t="s">
        <v>38</v>
      </c>
      <c r="K96" s="2" t="s">
        <v>46</v>
      </c>
      <c r="L96" s="2">
        <v>0</v>
      </c>
      <c r="M96" s="2" t="s">
        <v>47</v>
      </c>
      <c r="N96" s="2" t="s">
        <v>287</v>
      </c>
      <c r="O96" s="2">
        <v>0</v>
      </c>
      <c r="P96" s="2" t="s">
        <v>336</v>
      </c>
      <c r="Q96" s="2">
        <v>1</v>
      </c>
      <c r="R96" s="2">
        <v>0</v>
      </c>
      <c r="S96" s="2">
        <v>1</v>
      </c>
      <c r="T96" s="2">
        <v>0</v>
      </c>
      <c r="U96" s="2">
        <v>1</v>
      </c>
      <c r="V96" s="2" t="s">
        <v>289</v>
      </c>
      <c r="W96" s="2" t="s">
        <v>294</v>
      </c>
      <c r="X96" s="2" t="s">
        <v>83</v>
      </c>
      <c r="Y96" s="2">
        <v>0</v>
      </c>
      <c r="Z96" s="2"/>
      <c r="AA96" s="2"/>
      <c r="AB96" s="2"/>
      <c r="AC96" s="2"/>
      <c r="AD96" s="2"/>
      <c r="AE96" s="2"/>
      <c r="AF96" s="2"/>
      <c r="AG96" s="2">
        <v>0</v>
      </c>
      <c r="AH96" s="2"/>
      <c r="AI96" s="2"/>
      <c r="AJ96" s="2"/>
      <c r="AK96" s="2"/>
      <c r="AL96" s="2"/>
      <c r="AM96" s="2"/>
      <c r="AN96" s="2"/>
      <c r="AO96" s="2"/>
      <c r="AP96" s="2"/>
      <c r="AQ96" s="2">
        <v>0</v>
      </c>
      <c r="AR96" s="2"/>
      <c r="AS96" s="2"/>
      <c r="AT96" s="2"/>
      <c r="AU96" s="2"/>
      <c r="AV96" s="2"/>
      <c r="AW96" s="2"/>
      <c r="AX96" s="2">
        <v>1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1</v>
      </c>
      <c r="BG96" s="2">
        <v>0</v>
      </c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>
        <v>1</v>
      </c>
      <c r="BV96" s="2">
        <v>0</v>
      </c>
      <c r="BW96" s="2">
        <v>1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1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1</v>
      </c>
      <c r="CP96" s="2">
        <v>0</v>
      </c>
      <c r="CQ96" s="2"/>
      <c r="CR96" s="2"/>
      <c r="CS96" s="2"/>
      <c r="CT96" s="2"/>
      <c r="CU96" s="2"/>
      <c r="CV96" s="2"/>
      <c r="CW96" s="2"/>
      <c r="CX96" s="2"/>
    </row>
    <row r="97" ht="46" customHeight="1" spans="1:102">
      <c r="A97" s="2" t="s">
        <v>433</v>
      </c>
      <c r="B97" s="2">
        <v>97</v>
      </c>
      <c r="C97" s="2" t="s">
        <v>286</v>
      </c>
      <c r="D97" s="2">
        <v>1</v>
      </c>
      <c r="E97" s="2">
        <v>1</v>
      </c>
      <c r="F97" s="2">
        <v>641</v>
      </c>
      <c r="G97" s="2" t="s">
        <v>7</v>
      </c>
      <c r="H97" s="2" t="s">
        <v>23</v>
      </c>
      <c r="I97" s="2" t="s">
        <v>28</v>
      </c>
      <c r="J97" s="2" t="s">
        <v>35</v>
      </c>
      <c r="K97" s="2" t="s">
        <v>48</v>
      </c>
      <c r="L97" s="2">
        <v>1</v>
      </c>
      <c r="M97" s="2" t="s">
        <v>45</v>
      </c>
      <c r="N97" s="2" t="s">
        <v>287</v>
      </c>
      <c r="O97" s="2">
        <v>0</v>
      </c>
      <c r="P97" s="2" t="s">
        <v>301</v>
      </c>
      <c r="Q97" s="2">
        <v>0</v>
      </c>
      <c r="R97" s="2">
        <v>0</v>
      </c>
      <c r="S97" s="2">
        <v>0</v>
      </c>
      <c r="T97" s="2">
        <v>1</v>
      </c>
      <c r="U97" s="2">
        <v>0</v>
      </c>
      <c r="V97" s="2" t="s">
        <v>289</v>
      </c>
      <c r="W97" s="2" t="s">
        <v>290</v>
      </c>
      <c r="X97" s="2" t="s">
        <v>83</v>
      </c>
      <c r="Y97" s="2">
        <v>1</v>
      </c>
      <c r="Z97" s="2">
        <v>1</v>
      </c>
      <c r="AA97" s="2">
        <v>0</v>
      </c>
      <c r="AB97" s="2">
        <v>0</v>
      </c>
      <c r="AC97" s="2">
        <v>1</v>
      </c>
      <c r="AD97" s="2">
        <v>1</v>
      </c>
      <c r="AE97" s="2">
        <v>0</v>
      </c>
      <c r="AF97" s="2">
        <v>0</v>
      </c>
      <c r="AG97" s="2">
        <v>1</v>
      </c>
      <c r="AH97" s="2">
        <v>0</v>
      </c>
      <c r="AI97" s="2">
        <v>1</v>
      </c>
      <c r="AJ97" s="2">
        <v>0</v>
      </c>
      <c r="AK97" s="2">
        <v>1</v>
      </c>
      <c r="AL97" s="2">
        <v>0</v>
      </c>
      <c r="AM97" s="2">
        <v>1</v>
      </c>
      <c r="AN97" s="2">
        <v>1</v>
      </c>
      <c r="AO97" s="2">
        <v>0</v>
      </c>
      <c r="AP97" s="2">
        <v>0</v>
      </c>
      <c r="AQ97" s="2">
        <v>0</v>
      </c>
      <c r="AR97" s="2"/>
      <c r="AS97" s="2"/>
      <c r="AT97" s="2"/>
      <c r="AU97" s="2"/>
      <c r="AV97" s="2"/>
      <c r="AW97" s="2"/>
      <c r="AX97" s="2">
        <v>1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1</v>
      </c>
      <c r="BE97" s="2">
        <v>0</v>
      </c>
      <c r="BF97" s="2">
        <v>0</v>
      </c>
      <c r="BG97" s="2">
        <v>1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1</v>
      </c>
      <c r="BP97" s="2">
        <v>0</v>
      </c>
      <c r="BQ97" s="2">
        <v>0</v>
      </c>
      <c r="BR97" s="2">
        <v>0</v>
      </c>
      <c r="BS97" s="2">
        <v>1</v>
      </c>
      <c r="BT97" s="2">
        <v>1</v>
      </c>
      <c r="BU97" s="2">
        <v>1</v>
      </c>
      <c r="BV97" s="2">
        <v>0</v>
      </c>
      <c r="BW97" s="2">
        <v>1</v>
      </c>
      <c r="BX97" s="2">
        <v>1</v>
      </c>
      <c r="BY97" s="2">
        <v>0</v>
      </c>
      <c r="BZ97" s="2">
        <v>0</v>
      </c>
      <c r="CA97" s="2">
        <v>1</v>
      </c>
      <c r="CB97" s="2">
        <v>0</v>
      </c>
      <c r="CC97" s="2">
        <v>1</v>
      </c>
      <c r="CD97" s="2">
        <v>1</v>
      </c>
      <c r="CE97" s="2">
        <v>0</v>
      </c>
      <c r="CF97" s="2">
        <v>0</v>
      </c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>
        <v>4</v>
      </c>
      <c r="CR97" s="2" t="s">
        <v>145</v>
      </c>
      <c r="CS97" s="2">
        <v>4</v>
      </c>
      <c r="CT97" s="2" t="s">
        <v>145</v>
      </c>
      <c r="CU97" s="2">
        <v>5</v>
      </c>
      <c r="CV97" s="2" t="s">
        <v>146</v>
      </c>
      <c r="CW97" s="2">
        <v>2</v>
      </c>
      <c r="CX97" s="2" t="s">
        <v>143</v>
      </c>
    </row>
    <row r="98" ht="46" customHeight="1" spans="1:102">
      <c r="A98" s="2" t="s">
        <v>434</v>
      </c>
      <c r="B98" s="2">
        <v>98</v>
      </c>
      <c r="C98" s="2" t="s">
        <v>286</v>
      </c>
      <c r="D98" s="2">
        <v>1</v>
      </c>
      <c r="E98" s="2">
        <v>1</v>
      </c>
      <c r="F98" s="2">
        <v>169</v>
      </c>
      <c r="G98" s="2" t="s">
        <v>9</v>
      </c>
      <c r="H98" s="2" t="s">
        <v>24</v>
      </c>
      <c r="I98" s="2" t="s">
        <v>28</v>
      </c>
      <c r="J98" s="2" t="s">
        <v>36</v>
      </c>
      <c r="K98" s="2" t="s">
        <v>46</v>
      </c>
      <c r="L98" s="2">
        <v>0</v>
      </c>
      <c r="M98" s="2" t="s">
        <v>45</v>
      </c>
      <c r="N98" s="2" t="s">
        <v>86</v>
      </c>
      <c r="O98" s="2">
        <v>0</v>
      </c>
      <c r="P98" s="2" t="s">
        <v>323</v>
      </c>
      <c r="Q98" s="2">
        <v>0</v>
      </c>
      <c r="R98" s="2">
        <v>0</v>
      </c>
      <c r="S98" s="2">
        <v>1</v>
      </c>
      <c r="T98" s="2">
        <v>0</v>
      </c>
      <c r="U98" s="2">
        <v>0</v>
      </c>
      <c r="V98" s="2" t="s">
        <v>324</v>
      </c>
      <c r="W98" s="2" t="s">
        <v>325</v>
      </c>
      <c r="X98" s="2" t="s">
        <v>86</v>
      </c>
      <c r="Y98" s="2">
        <v>0</v>
      </c>
      <c r="Z98" s="2"/>
      <c r="AA98" s="2"/>
      <c r="AB98" s="2"/>
      <c r="AC98" s="2"/>
      <c r="AD98" s="2"/>
      <c r="AE98" s="2"/>
      <c r="AF98" s="2"/>
      <c r="AG98" s="2">
        <v>0</v>
      </c>
      <c r="AH98" s="2"/>
      <c r="AI98" s="2"/>
      <c r="AJ98" s="2"/>
      <c r="AK98" s="2"/>
      <c r="AL98" s="2"/>
      <c r="AM98" s="2"/>
      <c r="AN98" s="2"/>
      <c r="AO98" s="2"/>
      <c r="AP98" s="2"/>
      <c r="AQ98" s="2">
        <v>0</v>
      </c>
      <c r="AR98" s="2"/>
      <c r="AS98" s="2"/>
      <c r="AT98" s="2"/>
      <c r="AU98" s="2"/>
      <c r="AV98" s="2"/>
      <c r="AW98" s="2"/>
      <c r="AX98" s="2">
        <v>0</v>
      </c>
      <c r="AY98" s="2"/>
      <c r="AZ98" s="2"/>
      <c r="BA98" s="2"/>
      <c r="BB98" s="2"/>
      <c r="BC98" s="2"/>
      <c r="BD98" s="2"/>
      <c r="BE98" s="2"/>
      <c r="BF98" s="2"/>
      <c r="BG98" s="2">
        <v>0</v>
      </c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>
        <v>1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1</v>
      </c>
      <c r="CB98" s="2">
        <v>0</v>
      </c>
      <c r="CC98" s="2">
        <v>0</v>
      </c>
      <c r="CD98" s="2">
        <v>0</v>
      </c>
      <c r="CE98" s="2">
        <v>0</v>
      </c>
      <c r="CF98" s="2">
        <v>1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1</v>
      </c>
      <c r="CP98" s="2">
        <v>0</v>
      </c>
      <c r="CQ98" s="2"/>
      <c r="CR98" s="2"/>
      <c r="CS98" s="2"/>
      <c r="CT98" s="2"/>
      <c r="CU98" s="2"/>
      <c r="CV98" s="2"/>
      <c r="CW98" s="2"/>
      <c r="CX98" s="2"/>
    </row>
    <row r="99" ht="46" customHeight="1" spans="1:102">
      <c r="A99" s="2" t="s">
        <v>435</v>
      </c>
      <c r="B99" s="2">
        <v>99</v>
      </c>
      <c r="C99" s="2" t="s">
        <v>316</v>
      </c>
      <c r="D99" s="2">
        <v>1</v>
      </c>
      <c r="E99" s="2">
        <v>0</v>
      </c>
      <c r="F99" s="2">
        <v>252</v>
      </c>
      <c r="G99" s="2" t="s">
        <v>11</v>
      </c>
      <c r="H99" s="2" t="s">
        <v>24</v>
      </c>
      <c r="I99" s="2" t="s">
        <v>28</v>
      </c>
      <c r="J99" s="2" t="s">
        <v>34</v>
      </c>
      <c r="K99" s="2" t="s">
        <v>46</v>
      </c>
      <c r="L99" s="2">
        <v>0</v>
      </c>
      <c r="M99" s="2" t="s">
        <v>47</v>
      </c>
      <c r="N99" s="2" t="s">
        <v>85</v>
      </c>
      <c r="O99" s="2">
        <v>0</v>
      </c>
      <c r="P99" s="2" t="s">
        <v>380</v>
      </c>
      <c r="Q99" s="2">
        <v>1</v>
      </c>
      <c r="R99" s="2">
        <v>0</v>
      </c>
      <c r="S99" s="2">
        <v>1</v>
      </c>
      <c r="T99" s="2">
        <v>0</v>
      </c>
      <c r="U99" s="2">
        <v>1</v>
      </c>
      <c r="V99" s="2" t="s">
        <v>293</v>
      </c>
      <c r="W99" s="2" t="s">
        <v>299</v>
      </c>
      <c r="X99" s="2" t="s">
        <v>85</v>
      </c>
      <c r="Y99" s="2">
        <v>0</v>
      </c>
      <c r="Z99" s="2"/>
      <c r="AA99" s="2"/>
      <c r="AB99" s="2"/>
      <c r="AC99" s="2"/>
      <c r="AD99" s="2"/>
      <c r="AE99" s="2"/>
      <c r="AF99" s="2"/>
      <c r="AG99" s="2">
        <v>0</v>
      </c>
      <c r="AH99" s="2"/>
      <c r="AI99" s="2"/>
      <c r="AJ99" s="2"/>
      <c r="AK99" s="2"/>
      <c r="AL99" s="2"/>
      <c r="AM99" s="2"/>
      <c r="AN99" s="2"/>
      <c r="AO99" s="2"/>
      <c r="AP99" s="2"/>
      <c r="AQ99" s="2">
        <v>0</v>
      </c>
      <c r="AR99" s="2"/>
      <c r="AS99" s="2"/>
      <c r="AT99" s="2"/>
      <c r="AU99" s="2"/>
      <c r="AV99" s="2"/>
      <c r="AW99" s="2"/>
      <c r="AX99" s="2">
        <v>0</v>
      </c>
      <c r="AY99" s="2"/>
      <c r="AZ99" s="2"/>
      <c r="BA99" s="2"/>
      <c r="BB99" s="2"/>
      <c r="BC99" s="2"/>
      <c r="BD99" s="2"/>
      <c r="BE99" s="2"/>
      <c r="BF99" s="2"/>
      <c r="BG99" s="2">
        <v>0</v>
      </c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>
        <v>0</v>
      </c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>
        <v>1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1</v>
      </c>
      <c r="CP99" s="2">
        <v>0</v>
      </c>
      <c r="CQ99" s="2"/>
      <c r="CR99" s="2"/>
      <c r="CS99" s="2"/>
      <c r="CT99" s="2"/>
      <c r="CU99" s="2"/>
      <c r="CV99" s="2"/>
      <c r="CW99" s="2"/>
      <c r="CX99" s="2"/>
    </row>
    <row r="100" ht="46" customHeight="1" spans="1:102">
      <c r="A100" s="2" t="s">
        <v>436</v>
      </c>
      <c r="B100" s="2">
        <v>100</v>
      </c>
      <c r="C100" s="2" t="s">
        <v>316</v>
      </c>
      <c r="D100" s="2">
        <v>1</v>
      </c>
      <c r="E100" s="2">
        <v>0</v>
      </c>
      <c r="F100" s="2">
        <v>288</v>
      </c>
      <c r="G100" s="2" t="s">
        <v>7</v>
      </c>
      <c r="H100" s="2" t="s">
        <v>23</v>
      </c>
      <c r="I100" s="2" t="s">
        <v>28</v>
      </c>
      <c r="J100" s="2" t="s">
        <v>35</v>
      </c>
      <c r="K100" s="2" t="s">
        <v>44</v>
      </c>
      <c r="L100" s="2">
        <v>1</v>
      </c>
      <c r="M100" s="2" t="s">
        <v>43</v>
      </c>
      <c r="N100" s="2" t="s">
        <v>85</v>
      </c>
      <c r="O100" s="2">
        <v>0</v>
      </c>
      <c r="P100" s="2" t="s">
        <v>336</v>
      </c>
      <c r="Q100" s="2">
        <v>1</v>
      </c>
      <c r="R100" s="2">
        <v>0</v>
      </c>
      <c r="S100" s="2">
        <v>1</v>
      </c>
      <c r="T100" s="2">
        <v>0</v>
      </c>
      <c r="U100" s="2">
        <v>1</v>
      </c>
      <c r="V100" s="2" t="s">
        <v>289</v>
      </c>
      <c r="W100" s="2" t="s">
        <v>299</v>
      </c>
      <c r="X100" s="2" t="s">
        <v>85</v>
      </c>
      <c r="Y100" s="2">
        <v>1</v>
      </c>
      <c r="Z100" s="2">
        <v>0</v>
      </c>
      <c r="AA100" s="2">
        <v>0</v>
      </c>
      <c r="AB100" s="2">
        <v>0</v>
      </c>
      <c r="AC100" s="2">
        <v>1</v>
      </c>
      <c r="AD100" s="2">
        <v>1</v>
      </c>
      <c r="AE100" s="2">
        <v>1</v>
      </c>
      <c r="AF100" s="2">
        <v>0</v>
      </c>
      <c r="AG100" s="2">
        <v>1</v>
      </c>
      <c r="AH100" s="2">
        <v>0</v>
      </c>
      <c r="AI100" s="2">
        <v>1</v>
      </c>
      <c r="AJ100" s="2">
        <v>0</v>
      </c>
      <c r="AK100" s="2">
        <v>1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</v>
      </c>
      <c r="AR100" s="2">
        <v>0</v>
      </c>
      <c r="AS100" s="2">
        <v>0</v>
      </c>
      <c r="AT100" s="2">
        <v>0</v>
      </c>
      <c r="AU100" s="2">
        <v>0</v>
      </c>
      <c r="AV100" s="2">
        <v>1</v>
      </c>
      <c r="AW100" s="2">
        <v>0</v>
      </c>
      <c r="AX100" s="2">
        <v>0</v>
      </c>
      <c r="AY100" s="2"/>
      <c r="AZ100" s="2"/>
      <c r="BA100" s="2"/>
      <c r="BB100" s="2"/>
      <c r="BC100" s="2"/>
      <c r="BD100" s="2"/>
      <c r="BE100" s="2"/>
      <c r="BF100" s="2"/>
      <c r="BG100" s="2">
        <v>0</v>
      </c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>
        <v>1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1</v>
      </c>
      <c r="CC100" s="2">
        <v>0</v>
      </c>
      <c r="CD100" s="2">
        <v>0</v>
      </c>
      <c r="CE100" s="2">
        <v>0</v>
      </c>
      <c r="CF100" s="2">
        <v>1</v>
      </c>
      <c r="CG100" s="2">
        <v>0</v>
      </c>
      <c r="CH100" s="2">
        <v>1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/>
      <c r="CR100" s="2"/>
      <c r="CS100" s="2"/>
      <c r="CT100" s="2"/>
      <c r="CU100" s="2"/>
      <c r="CV100" s="2"/>
      <c r="CW100" s="2"/>
      <c r="CX100" s="2"/>
    </row>
    <row r="101" ht="46" customHeight="1" spans="1:102">
      <c r="A101" s="2" t="s">
        <v>437</v>
      </c>
      <c r="B101" s="2">
        <v>101</v>
      </c>
      <c r="C101" s="2" t="s">
        <v>316</v>
      </c>
      <c r="D101" s="2">
        <v>1</v>
      </c>
      <c r="E101" s="2">
        <v>0</v>
      </c>
      <c r="F101" s="2">
        <v>205</v>
      </c>
      <c r="G101" s="2" t="s">
        <v>7</v>
      </c>
      <c r="H101" s="2" t="s">
        <v>24</v>
      </c>
      <c r="I101" s="2" t="s">
        <v>28</v>
      </c>
      <c r="J101" s="2" t="s">
        <v>34</v>
      </c>
      <c r="K101" s="2" t="s">
        <v>46</v>
      </c>
      <c r="L101" s="2">
        <v>0</v>
      </c>
      <c r="M101" s="2" t="s">
        <v>47</v>
      </c>
      <c r="N101" s="2" t="s">
        <v>287</v>
      </c>
      <c r="O101" s="2">
        <v>0</v>
      </c>
      <c r="P101" s="2" t="s">
        <v>336</v>
      </c>
      <c r="Q101" s="2">
        <v>1</v>
      </c>
      <c r="R101" s="2">
        <v>0</v>
      </c>
      <c r="S101" s="2">
        <v>1</v>
      </c>
      <c r="T101" s="2">
        <v>0</v>
      </c>
      <c r="U101" s="2">
        <v>1</v>
      </c>
      <c r="V101" s="2" t="s">
        <v>289</v>
      </c>
      <c r="W101" s="2" t="s">
        <v>294</v>
      </c>
      <c r="X101" s="2" t="s">
        <v>83</v>
      </c>
      <c r="Y101" s="2">
        <v>0</v>
      </c>
      <c r="Z101" s="2"/>
      <c r="AA101" s="2"/>
      <c r="AB101" s="2"/>
      <c r="AC101" s="2"/>
      <c r="AD101" s="2"/>
      <c r="AE101" s="2"/>
      <c r="AF101" s="2"/>
      <c r="AG101" s="2">
        <v>0</v>
      </c>
      <c r="AH101" s="2"/>
      <c r="AI101" s="2"/>
      <c r="AJ101" s="2"/>
      <c r="AK101" s="2"/>
      <c r="AL101" s="2"/>
      <c r="AM101" s="2"/>
      <c r="AN101" s="2"/>
      <c r="AO101" s="2"/>
      <c r="AP101" s="2"/>
      <c r="AQ101" s="2">
        <v>0</v>
      </c>
      <c r="AR101" s="2"/>
      <c r="AS101" s="2"/>
      <c r="AT101" s="2"/>
      <c r="AU101" s="2"/>
      <c r="AV101" s="2"/>
      <c r="AW101" s="2"/>
      <c r="AX101" s="2">
        <v>1</v>
      </c>
      <c r="AY101" s="2">
        <v>0</v>
      </c>
      <c r="AZ101" s="2">
        <v>0</v>
      </c>
      <c r="BA101" s="2">
        <v>0</v>
      </c>
      <c r="BB101" s="2">
        <v>1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>
        <v>1</v>
      </c>
      <c r="BV101" s="2">
        <v>0</v>
      </c>
      <c r="BW101" s="2">
        <v>0</v>
      </c>
      <c r="BX101" s="2">
        <v>1</v>
      </c>
      <c r="BY101" s="2">
        <v>0</v>
      </c>
      <c r="BZ101" s="2">
        <v>0</v>
      </c>
      <c r="CA101" s="2">
        <v>1</v>
      </c>
      <c r="CB101" s="2">
        <v>0</v>
      </c>
      <c r="CC101" s="2">
        <v>0</v>
      </c>
      <c r="CD101" s="2">
        <v>0</v>
      </c>
      <c r="CE101" s="2">
        <v>0</v>
      </c>
      <c r="CF101" s="2">
        <v>1</v>
      </c>
      <c r="CG101" s="2">
        <v>0</v>
      </c>
      <c r="CH101" s="2">
        <v>0</v>
      </c>
      <c r="CI101" s="2">
        <v>1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/>
      <c r="CR101" s="2"/>
      <c r="CS101" s="2"/>
      <c r="CT101" s="2"/>
      <c r="CU101" s="2"/>
      <c r="CV101" s="2"/>
      <c r="CW101" s="2"/>
      <c r="CX101" s="2"/>
    </row>
    <row r="102" ht="46" customHeight="1" spans="1:102">
      <c r="A102" s="2" t="s">
        <v>438</v>
      </c>
      <c r="B102" s="2">
        <v>102</v>
      </c>
      <c r="C102" s="2" t="s">
        <v>286</v>
      </c>
      <c r="D102" s="2">
        <v>1</v>
      </c>
      <c r="E102" s="2">
        <v>1</v>
      </c>
      <c r="F102" s="2">
        <v>207</v>
      </c>
      <c r="G102" s="2" t="s">
        <v>7</v>
      </c>
      <c r="H102" s="2" t="s">
        <v>24</v>
      </c>
      <c r="I102" s="2" t="s">
        <v>30</v>
      </c>
      <c r="J102" s="2" t="s">
        <v>37</v>
      </c>
      <c r="K102" s="2" t="s">
        <v>46</v>
      </c>
      <c r="L102" s="2">
        <v>0</v>
      </c>
      <c r="M102" s="2" t="s">
        <v>43</v>
      </c>
      <c r="N102" s="2" t="s">
        <v>85</v>
      </c>
      <c r="O102" s="2">
        <v>1</v>
      </c>
      <c r="P102" s="2" t="s">
        <v>329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  <c r="V102" s="2" t="s">
        <v>324</v>
      </c>
      <c r="W102" s="2" t="s">
        <v>325</v>
      </c>
      <c r="X102" s="2" t="s">
        <v>85</v>
      </c>
      <c r="Y102" s="2">
        <v>0</v>
      </c>
      <c r="Z102" s="2"/>
      <c r="AA102" s="2"/>
      <c r="AB102" s="2"/>
      <c r="AC102" s="2"/>
      <c r="AD102" s="2"/>
      <c r="AE102" s="2"/>
      <c r="AF102" s="2"/>
      <c r="AG102" s="2">
        <v>0</v>
      </c>
      <c r="AH102" s="2"/>
      <c r="AI102" s="2"/>
      <c r="AJ102" s="2"/>
      <c r="AK102" s="2"/>
      <c r="AL102" s="2"/>
      <c r="AM102" s="2"/>
      <c r="AN102" s="2"/>
      <c r="AO102" s="2"/>
      <c r="AP102" s="2"/>
      <c r="AQ102" s="2">
        <v>0</v>
      </c>
      <c r="AR102" s="2"/>
      <c r="AS102" s="2"/>
      <c r="AT102" s="2"/>
      <c r="AU102" s="2"/>
      <c r="AV102" s="2"/>
      <c r="AW102" s="2"/>
      <c r="AX102" s="2">
        <v>0</v>
      </c>
      <c r="AY102" s="2"/>
      <c r="AZ102" s="2"/>
      <c r="BA102" s="2"/>
      <c r="BB102" s="2"/>
      <c r="BC102" s="2"/>
      <c r="BD102" s="2"/>
      <c r="BE102" s="2"/>
      <c r="BF102" s="2"/>
      <c r="BG102" s="2">
        <v>0</v>
      </c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>
        <v>1</v>
      </c>
      <c r="BV102" s="2">
        <v>1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1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1</v>
      </c>
      <c r="CO102" s="2">
        <v>0</v>
      </c>
      <c r="CP102" s="2">
        <v>0</v>
      </c>
      <c r="CQ102" s="2"/>
      <c r="CR102" s="2"/>
      <c r="CS102" s="2"/>
      <c r="CT102" s="2"/>
      <c r="CU102" s="2"/>
      <c r="CV102" s="2"/>
      <c r="CW102" s="2"/>
      <c r="CX102" s="2"/>
    </row>
    <row r="103" ht="46" customHeight="1" spans="1:102">
      <c r="A103" s="2" t="s">
        <v>439</v>
      </c>
      <c r="B103" s="2">
        <v>103</v>
      </c>
      <c r="C103" s="2" t="s">
        <v>316</v>
      </c>
      <c r="D103" s="2">
        <v>1</v>
      </c>
      <c r="E103" s="2">
        <v>0</v>
      </c>
      <c r="F103" s="2">
        <v>197</v>
      </c>
      <c r="G103" s="2" t="s">
        <v>7</v>
      </c>
      <c r="H103" s="2" t="s">
        <v>23</v>
      </c>
      <c r="I103" s="2" t="s">
        <v>28</v>
      </c>
      <c r="J103" s="2" t="s">
        <v>38</v>
      </c>
      <c r="K103" s="2" t="s">
        <v>46</v>
      </c>
      <c r="L103" s="2">
        <v>0</v>
      </c>
      <c r="M103" s="2" t="s">
        <v>45</v>
      </c>
      <c r="N103" s="2" t="s">
        <v>85</v>
      </c>
      <c r="O103" s="2">
        <v>0</v>
      </c>
      <c r="P103" s="2" t="s">
        <v>321</v>
      </c>
      <c r="Q103" s="2">
        <v>1</v>
      </c>
      <c r="R103" s="2">
        <v>0</v>
      </c>
      <c r="S103" s="2">
        <v>1</v>
      </c>
      <c r="T103" s="2">
        <v>1</v>
      </c>
      <c r="U103" s="2">
        <v>1</v>
      </c>
      <c r="V103" s="2" t="s">
        <v>289</v>
      </c>
      <c r="W103" s="2" t="s">
        <v>299</v>
      </c>
      <c r="X103" s="2" t="s">
        <v>85</v>
      </c>
      <c r="Y103" s="2">
        <v>0</v>
      </c>
      <c r="Z103" s="2"/>
      <c r="AA103" s="2"/>
      <c r="AB103" s="2"/>
      <c r="AC103" s="2"/>
      <c r="AD103" s="2"/>
      <c r="AE103" s="2"/>
      <c r="AF103" s="2"/>
      <c r="AG103" s="2">
        <v>0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>
        <v>0</v>
      </c>
      <c r="AR103" s="2"/>
      <c r="AS103" s="2"/>
      <c r="AT103" s="2"/>
      <c r="AU103" s="2"/>
      <c r="AV103" s="2"/>
      <c r="AW103" s="2"/>
      <c r="AX103" s="2">
        <v>0</v>
      </c>
      <c r="AY103" s="2"/>
      <c r="AZ103" s="2"/>
      <c r="BA103" s="2"/>
      <c r="BB103" s="2"/>
      <c r="BC103" s="2"/>
      <c r="BD103" s="2"/>
      <c r="BE103" s="2"/>
      <c r="BF103" s="2"/>
      <c r="BG103" s="2">
        <v>0</v>
      </c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>
        <v>1</v>
      </c>
      <c r="BV103" s="2">
        <v>1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1</v>
      </c>
      <c r="CE103" s="2">
        <v>0</v>
      </c>
      <c r="CF103" s="2">
        <v>0</v>
      </c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</row>
    <row r="104" ht="46" customHeight="1" spans="1:102">
      <c r="A104" s="2" t="s">
        <v>440</v>
      </c>
      <c r="B104" s="2">
        <v>104</v>
      </c>
      <c r="C104" s="2" t="s">
        <v>316</v>
      </c>
      <c r="D104" s="2">
        <v>1</v>
      </c>
      <c r="E104" s="2">
        <v>0</v>
      </c>
      <c r="F104" s="2">
        <v>282</v>
      </c>
      <c r="G104" s="2" t="s">
        <v>11</v>
      </c>
      <c r="H104" s="2" t="s">
        <v>24</v>
      </c>
      <c r="I104" s="2" t="s">
        <v>28</v>
      </c>
      <c r="J104" s="2" t="s">
        <v>35</v>
      </c>
      <c r="K104" s="2" t="s">
        <v>46</v>
      </c>
      <c r="L104" s="2">
        <v>0</v>
      </c>
      <c r="M104" s="2" t="s">
        <v>47</v>
      </c>
      <c r="N104" s="2" t="s">
        <v>287</v>
      </c>
      <c r="O104" s="2">
        <v>0</v>
      </c>
      <c r="P104" s="2" t="s">
        <v>321</v>
      </c>
      <c r="Q104" s="2">
        <v>1</v>
      </c>
      <c r="R104" s="2">
        <v>0</v>
      </c>
      <c r="S104" s="2">
        <v>1</v>
      </c>
      <c r="T104" s="2">
        <v>1</v>
      </c>
      <c r="U104" s="2">
        <v>1</v>
      </c>
      <c r="V104" s="2" t="s">
        <v>293</v>
      </c>
      <c r="W104" s="2" t="s">
        <v>294</v>
      </c>
      <c r="X104" s="2" t="s">
        <v>84</v>
      </c>
      <c r="Y104" s="2">
        <v>0</v>
      </c>
      <c r="Z104" s="2"/>
      <c r="AA104" s="2"/>
      <c r="AB104" s="2"/>
      <c r="AC104" s="2"/>
      <c r="AD104" s="2"/>
      <c r="AE104" s="2"/>
      <c r="AF104" s="2"/>
      <c r="AG104" s="2">
        <v>0</v>
      </c>
      <c r="AH104" s="2"/>
      <c r="AI104" s="2"/>
      <c r="AJ104" s="2"/>
      <c r="AK104" s="2"/>
      <c r="AL104" s="2"/>
      <c r="AM104" s="2"/>
      <c r="AN104" s="2"/>
      <c r="AO104" s="2"/>
      <c r="AP104" s="2"/>
      <c r="AQ104" s="2">
        <v>0</v>
      </c>
      <c r="AR104" s="2"/>
      <c r="AS104" s="2"/>
      <c r="AT104" s="2"/>
      <c r="AU104" s="2"/>
      <c r="AV104" s="2"/>
      <c r="AW104" s="2"/>
      <c r="AX104" s="2">
        <v>1</v>
      </c>
      <c r="AY104" s="2">
        <v>1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1</v>
      </c>
      <c r="BG104" s="2">
        <v>0</v>
      </c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>
        <v>1</v>
      </c>
      <c r="BV104" s="2">
        <v>1</v>
      </c>
      <c r="BW104" s="2">
        <v>1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</v>
      </c>
      <c r="CE104" s="2">
        <v>0</v>
      </c>
      <c r="CF104" s="2">
        <v>0</v>
      </c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</row>
    <row r="105" ht="46" customHeight="1" spans="1:102">
      <c r="A105" s="2" t="s">
        <v>441</v>
      </c>
      <c r="B105" s="2">
        <v>105</v>
      </c>
      <c r="C105" s="2" t="s">
        <v>286</v>
      </c>
      <c r="D105" s="2">
        <v>1</v>
      </c>
      <c r="E105" s="2">
        <v>1</v>
      </c>
      <c r="F105" s="2">
        <v>239</v>
      </c>
      <c r="G105" s="2" t="s">
        <v>9</v>
      </c>
      <c r="H105" s="2" t="s">
        <v>24</v>
      </c>
      <c r="I105" s="2" t="s">
        <v>28</v>
      </c>
      <c r="J105" s="2" t="s">
        <v>35</v>
      </c>
      <c r="K105" s="2" t="s">
        <v>46</v>
      </c>
      <c r="L105" s="2">
        <v>0</v>
      </c>
      <c r="M105" s="2" t="s">
        <v>45</v>
      </c>
      <c r="N105" s="2" t="s">
        <v>86</v>
      </c>
      <c r="O105" s="2">
        <v>0</v>
      </c>
      <c r="P105" s="2" t="s">
        <v>323</v>
      </c>
      <c r="Q105" s="2">
        <v>0</v>
      </c>
      <c r="R105" s="2">
        <v>0</v>
      </c>
      <c r="S105" s="2">
        <v>1</v>
      </c>
      <c r="T105" s="2">
        <v>0</v>
      </c>
      <c r="U105" s="2">
        <v>0</v>
      </c>
      <c r="V105" s="2" t="s">
        <v>324</v>
      </c>
      <c r="W105" s="2" t="s">
        <v>325</v>
      </c>
      <c r="X105" s="2" t="s">
        <v>86</v>
      </c>
      <c r="Y105" s="2">
        <v>0</v>
      </c>
      <c r="Z105" s="2"/>
      <c r="AA105" s="2"/>
      <c r="AB105" s="2"/>
      <c r="AC105" s="2"/>
      <c r="AD105" s="2"/>
      <c r="AE105" s="2"/>
      <c r="AF105" s="2"/>
      <c r="AG105" s="2">
        <v>0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2">
        <v>0</v>
      </c>
      <c r="AR105" s="2"/>
      <c r="AS105" s="2"/>
      <c r="AT105" s="2"/>
      <c r="AU105" s="2"/>
      <c r="AV105" s="2"/>
      <c r="AW105" s="2"/>
      <c r="AX105" s="2">
        <v>0</v>
      </c>
      <c r="AY105" s="2"/>
      <c r="AZ105" s="2"/>
      <c r="BA105" s="2"/>
      <c r="BB105" s="2"/>
      <c r="BC105" s="2"/>
      <c r="BD105" s="2"/>
      <c r="BE105" s="2"/>
      <c r="BF105" s="2"/>
      <c r="BG105" s="2">
        <v>0</v>
      </c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>
        <v>1</v>
      </c>
      <c r="BV105" s="2">
        <v>0</v>
      </c>
      <c r="BW105" s="2">
        <v>1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1</v>
      </c>
      <c r="CG105" s="2">
        <v>0</v>
      </c>
      <c r="CH105" s="2">
        <v>0</v>
      </c>
      <c r="CI105" s="2">
        <v>0</v>
      </c>
      <c r="CJ105" s="2">
        <v>0</v>
      </c>
      <c r="CK105" s="2">
        <v>1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/>
      <c r="CR105" s="2"/>
      <c r="CS105" s="2"/>
      <c r="CT105" s="2"/>
      <c r="CU105" s="2"/>
      <c r="CV105" s="2"/>
      <c r="CW105" s="2"/>
      <c r="CX105" s="2"/>
    </row>
    <row r="106" ht="46" customHeight="1" spans="1:102">
      <c r="A106" s="2" t="s">
        <v>442</v>
      </c>
      <c r="B106" s="2">
        <v>106</v>
      </c>
      <c r="C106" s="2" t="s">
        <v>286</v>
      </c>
      <c r="D106" s="2">
        <v>1</v>
      </c>
      <c r="E106" s="2">
        <v>1</v>
      </c>
      <c r="F106" s="2">
        <v>173</v>
      </c>
      <c r="G106" s="2" t="s">
        <v>7</v>
      </c>
      <c r="H106" s="2" t="s">
        <v>24</v>
      </c>
      <c r="I106" s="2" t="s">
        <v>29</v>
      </c>
      <c r="J106" s="2" t="s">
        <v>37</v>
      </c>
      <c r="K106" s="2" t="s">
        <v>42</v>
      </c>
      <c r="L106" s="2">
        <v>1</v>
      </c>
      <c r="M106" s="2" t="s">
        <v>47</v>
      </c>
      <c r="N106" s="2" t="s">
        <v>86</v>
      </c>
      <c r="O106" s="2">
        <v>0</v>
      </c>
      <c r="P106" s="2" t="s">
        <v>323</v>
      </c>
      <c r="Q106" s="2">
        <v>0</v>
      </c>
      <c r="R106" s="2">
        <v>0</v>
      </c>
      <c r="S106" s="2">
        <v>1</v>
      </c>
      <c r="T106" s="2">
        <v>0</v>
      </c>
      <c r="U106" s="2">
        <v>0</v>
      </c>
      <c r="V106" s="2" t="s">
        <v>324</v>
      </c>
      <c r="W106" s="2" t="s">
        <v>325</v>
      </c>
      <c r="X106" s="2" t="s">
        <v>86</v>
      </c>
      <c r="Y106" s="2">
        <v>1</v>
      </c>
      <c r="Z106" s="2">
        <v>0</v>
      </c>
      <c r="AA106" s="2">
        <v>0</v>
      </c>
      <c r="AB106" s="2">
        <v>0</v>
      </c>
      <c r="AC106" s="2">
        <v>1</v>
      </c>
      <c r="AD106" s="2">
        <v>1</v>
      </c>
      <c r="AE106" s="2">
        <v>1</v>
      </c>
      <c r="AF106" s="2">
        <v>0</v>
      </c>
      <c r="AG106" s="2">
        <v>1</v>
      </c>
      <c r="AH106" s="2">
        <v>0</v>
      </c>
      <c r="AI106" s="2">
        <v>1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1</v>
      </c>
      <c r="AQ106" s="2">
        <v>0</v>
      </c>
      <c r="AR106" s="2"/>
      <c r="AS106" s="2"/>
      <c r="AT106" s="2"/>
      <c r="AU106" s="2"/>
      <c r="AV106" s="2"/>
      <c r="AW106" s="2"/>
      <c r="AX106" s="2">
        <v>0</v>
      </c>
      <c r="AY106" s="2"/>
      <c r="AZ106" s="2"/>
      <c r="BA106" s="2"/>
      <c r="BB106" s="2"/>
      <c r="BC106" s="2"/>
      <c r="BD106" s="2"/>
      <c r="BE106" s="2"/>
      <c r="BF106" s="2"/>
      <c r="BG106" s="2">
        <v>0</v>
      </c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>
        <v>1</v>
      </c>
      <c r="BV106" s="2">
        <v>0</v>
      </c>
      <c r="BW106" s="2">
        <v>0</v>
      </c>
      <c r="BX106" s="2">
        <v>1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1</v>
      </c>
      <c r="CG106" s="2">
        <v>0</v>
      </c>
      <c r="CH106" s="2">
        <v>0</v>
      </c>
      <c r="CI106" s="2">
        <v>0</v>
      </c>
      <c r="CJ106" s="2">
        <v>1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/>
      <c r="CR106" s="2"/>
      <c r="CS106" s="2"/>
      <c r="CT106" s="2"/>
      <c r="CU106" s="2"/>
      <c r="CV106" s="2"/>
      <c r="CW106" s="2"/>
      <c r="CX106" s="2"/>
    </row>
    <row r="107" ht="46" customHeight="1" spans="1:102">
      <c r="A107" s="2" t="s">
        <v>443</v>
      </c>
      <c r="B107" s="2">
        <v>107</v>
      </c>
      <c r="C107" s="2" t="s">
        <v>316</v>
      </c>
      <c r="D107" s="2">
        <v>1</v>
      </c>
      <c r="E107" s="2">
        <v>0</v>
      </c>
      <c r="F107" s="2">
        <v>232</v>
      </c>
      <c r="G107" s="2" t="s">
        <v>7</v>
      </c>
      <c r="H107" s="2" t="s">
        <v>24</v>
      </c>
      <c r="I107" s="2" t="s">
        <v>28</v>
      </c>
      <c r="J107" s="2" t="s">
        <v>36</v>
      </c>
      <c r="K107" s="2" t="s">
        <v>46</v>
      </c>
      <c r="L107" s="2">
        <v>0</v>
      </c>
      <c r="M107" s="2" t="s">
        <v>45</v>
      </c>
      <c r="N107" s="2" t="s">
        <v>85</v>
      </c>
      <c r="O107" s="2">
        <v>0</v>
      </c>
      <c r="P107" s="2" t="s">
        <v>354</v>
      </c>
      <c r="Q107" s="2">
        <v>1</v>
      </c>
      <c r="R107" s="2">
        <v>0</v>
      </c>
      <c r="S107" s="2">
        <v>1</v>
      </c>
      <c r="T107" s="2">
        <v>0</v>
      </c>
      <c r="U107" s="2">
        <v>1</v>
      </c>
      <c r="V107" s="2" t="s">
        <v>293</v>
      </c>
      <c r="W107" s="2" t="s">
        <v>299</v>
      </c>
      <c r="X107" s="2" t="s">
        <v>85</v>
      </c>
      <c r="Y107" s="2">
        <v>0</v>
      </c>
      <c r="Z107" s="2"/>
      <c r="AA107" s="2"/>
      <c r="AB107" s="2"/>
      <c r="AC107" s="2"/>
      <c r="AD107" s="2"/>
      <c r="AE107" s="2"/>
      <c r="AF107" s="2"/>
      <c r="AG107" s="2">
        <v>0</v>
      </c>
      <c r="AH107" s="2"/>
      <c r="AI107" s="2"/>
      <c r="AJ107" s="2"/>
      <c r="AK107" s="2"/>
      <c r="AL107" s="2"/>
      <c r="AM107" s="2"/>
      <c r="AN107" s="2"/>
      <c r="AO107" s="2"/>
      <c r="AP107" s="2"/>
      <c r="AQ107" s="2">
        <v>0</v>
      </c>
      <c r="AR107" s="2"/>
      <c r="AS107" s="2"/>
      <c r="AT107" s="2"/>
      <c r="AU107" s="2"/>
      <c r="AV107" s="2"/>
      <c r="AW107" s="2"/>
      <c r="AX107" s="2">
        <v>0</v>
      </c>
      <c r="AY107" s="2"/>
      <c r="AZ107" s="2"/>
      <c r="BA107" s="2"/>
      <c r="BB107" s="2"/>
      <c r="BC107" s="2"/>
      <c r="BD107" s="2"/>
      <c r="BE107" s="2"/>
      <c r="BF107" s="2"/>
      <c r="BG107" s="2">
        <v>0</v>
      </c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>
        <v>1</v>
      </c>
      <c r="BV107" s="2">
        <v>0</v>
      </c>
      <c r="BW107" s="2">
        <v>0</v>
      </c>
      <c r="BX107" s="2">
        <v>0</v>
      </c>
      <c r="BY107" s="2">
        <v>0</v>
      </c>
      <c r="BZ107" s="2">
        <v>1</v>
      </c>
      <c r="CA107" s="2">
        <v>1</v>
      </c>
      <c r="CB107" s="2">
        <v>0</v>
      </c>
      <c r="CC107" s="2">
        <v>0</v>
      </c>
      <c r="CD107" s="2">
        <v>0</v>
      </c>
      <c r="CE107" s="2">
        <v>0</v>
      </c>
      <c r="CF107" s="2">
        <v>1</v>
      </c>
      <c r="CG107" s="2">
        <v>0</v>
      </c>
      <c r="CH107" s="2">
        <v>0</v>
      </c>
      <c r="CI107" s="2">
        <v>0</v>
      </c>
      <c r="CJ107" s="2">
        <v>1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/>
      <c r="CR107" s="2"/>
      <c r="CS107" s="2"/>
      <c r="CT107" s="2"/>
      <c r="CU107" s="2"/>
      <c r="CV107" s="2"/>
      <c r="CW107" s="2"/>
      <c r="CX107" s="2"/>
    </row>
    <row r="108" ht="46" customHeight="1" spans="1:102">
      <c r="A108" s="2" t="s">
        <v>444</v>
      </c>
      <c r="B108" s="2">
        <v>108</v>
      </c>
      <c r="C108" s="2" t="s">
        <v>316</v>
      </c>
      <c r="D108" s="2">
        <v>1</v>
      </c>
      <c r="E108" s="2">
        <v>0</v>
      </c>
      <c r="F108" s="2">
        <v>157</v>
      </c>
      <c r="G108" s="2" t="s">
        <v>7</v>
      </c>
      <c r="H108" s="2" t="s">
        <v>23</v>
      </c>
      <c r="I108" s="2" t="s">
        <v>28</v>
      </c>
      <c r="J108" s="2" t="s">
        <v>35</v>
      </c>
      <c r="K108" s="2" t="s">
        <v>46</v>
      </c>
      <c r="L108" s="2">
        <v>0</v>
      </c>
      <c r="M108" s="2" t="s">
        <v>45</v>
      </c>
      <c r="N108" s="2" t="s">
        <v>287</v>
      </c>
      <c r="O108" s="2">
        <v>0</v>
      </c>
      <c r="P108" s="2" t="s">
        <v>336</v>
      </c>
      <c r="Q108" s="2">
        <v>1</v>
      </c>
      <c r="R108" s="2">
        <v>0</v>
      </c>
      <c r="S108" s="2">
        <v>1</v>
      </c>
      <c r="T108" s="2">
        <v>0</v>
      </c>
      <c r="U108" s="2">
        <v>1</v>
      </c>
      <c r="V108" s="2" t="s">
        <v>289</v>
      </c>
      <c r="W108" s="2" t="s">
        <v>294</v>
      </c>
      <c r="X108" s="2" t="s">
        <v>83</v>
      </c>
      <c r="Y108" s="2">
        <v>0</v>
      </c>
      <c r="Z108" s="2"/>
      <c r="AA108" s="2"/>
      <c r="AB108" s="2"/>
      <c r="AC108" s="2"/>
      <c r="AD108" s="2"/>
      <c r="AE108" s="2"/>
      <c r="AF108" s="2"/>
      <c r="AG108" s="2">
        <v>0</v>
      </c>
      <c r="AH108" s="2"/>
      <c r="AI108" s="2"/>
      <c r="AJ108" s="2"/>
      <c r="AK108" s="2"/>
      <c r="AL108" s="2"/>
      <c r="AM108" s="2"/>
      <c r="AN108" s="2"/>
      <c r="AO108" s="2"/>
      <c r="AP108" s="2"/>
      <c r="AQ108" s="2">
        <v>0</v>
      </c>
      <c r="AR108" s="2"/>
      <c r="AS108" s="2"/>
      <c r="AT108" s="2"/>
      <c r="AU108" s="2"/>
      <c r="AV108" s="2"/>
      <c r="AW108" s="2"/>
      <c r="AX108" s="2">
        <v>1</v>
      </c>
      <c r="AY108" s="2">
        <v>1</v>
      </c>
      <c r="AZ108" s="2">
        <v>0</v>
      </c>
      <c r="BA108" s="2">
        <v>0</v>
      </c>
      <c r="BB108" s="2">
        <v>1</v>
      </c>
      <c r="BC108" s="2">
        <v>0</v>
      </c>
      <c r="BD108" s="2">
        <v>0</v>
      </c>
      <c r="BE108" s="2">
        <v>0</v>
      </c>
      <c r="BF108" s="2">
        <v>1</v>
      </c>
      <c r="BG108" s="2">
        <v>0</v>
      </c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>
        <v>1</v>
      </c>
      <c r="BV108" s="2">
        <v>0</v>
      </c>
      <c r="BW108" s="2">
        <v>1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1</v>
      </c>
      <c r="CE108" s="2">
        <v>0</v>
      </c>
      <c r="CF108" s="2">
        <v>1</v>
      </c>
      <c r="CG108" s="2">
        <v>0</v>
      </c>
      <c r="CH108" s="2">
        <v>0</v>
      </c>
      <c r="CI108" s="2">
        <v>0</v>
      </c>
      <c r="CJ108" s="2">
        <v>1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/>
      <c r="CR108" s="2"/>
      <c r="CS108" s="2"/>
      <c r="CT108" s="2"/>
      <c r="CU108" s="2"/>
      <c r="CV108" s="2"/>
      <c r="CW108" s="2"/>
      <c r="CX108" s="2"/>
    </row>
    <row r="109" ht="46" customHeight="1" spans="1:102">
      <c r="A109" s="2" t="s">
        <v>445</v>
      </c>
      <c r="B109" s="2">
        <v>109</v>
      </c>
      <c r="C109" s="2" t="s">
        <v>286</v>
      </c>
      <c r="D109" s="2">
        <v>1</v>
      </c>
      <c r="E109" s="2">
        <v>1</v>
      </c>
      <c r="F109" s="2">
        <v>305</v>
      </c>
      <c r="G109" s="2" t="s">
        <v>9</v>
      </c>
      <c r="H109" s="2" t="s">
        <v>23</v>
      </c>
      <c r="I109" s="2" t="s">
        <v>28</v>
      </c>
      <c r="J109" s="2" t="s">
        <v>35</v>
      </c>
      <c r="K109" s="2" t="s">
        <v>48</v>
      </c>
      <c r="L109" s="2">
        <v>1</v>
      </c>
      <c r="M109" s="2" t="s">
        <v>43</v>
      </c>
      <c r="N109" s="2" t="s">
        <v>287</v>
      </c>
      <c r="O109" s="2">
        <v>0</v>
      </c>
      <c r="P109" s="2" t="s">
        <v>288</v>
      </c>
      <c r="Q109" s="2">
        <v>0</v>
      </c>
      <c r="R109" s="2">
        <v>0</v>
      </c>
      <c r="S109" s="2">
        <v>0</v>
      </c>
      <c r="T109" s="2">
        <v>1</v>
      </c>
      <c r="U109" s="2">
        <v>1</v>
      </c>
      <c r="V109" s="2" t="s">
        <v>289</v>
      </c>
      <c r="W109" s="2" t="s">
        <v>319</v>
      </c>
      <c r="X109" s="2" t="s">
        <v>83</v>
      </c>
      <c r="Y109" s="2">
        <v>1</v>
      </c>
      <c r="Z109" s="2">
        <v>0</v>
      </c>
      <c r="AA109" s="2">
        <v>0</v>
      </c>
      <c r="AB109" s="2">
        <v>0</v>
      </c>
      <c r="AC109" s="2">
        <v>1</v>
      </c>
      <c r="AD109" s="2">
        <v>1</v>
      </c>
      <c r="AE109" s="2">
        <v>0</v>
      </c>
      <c r="AF109" s="2">
        <v>0</v>
      </c>
      <c r="AG109" s="2">
        <v>1</v>
      </c>
      <c r="AH109" s="2">
        <v>0</v>
      </c>
      <c r="AI109" s="2">
        <v>1</v>
      </c>
      <c r="AJ109" s="2">
        <v>0</v>
      </c>
      <c r="AK109" s="2">
        <v>1</v>
      </c>
      <c r="AL109" s="2">
        <v>0</v>
      </c>
      <c r="AM109" s="2">
        <v>0</v>
      </c>
      <c r="AN109" s="2">
        <v>0</v>
      </c>
      <c r="AO109" s="2">
        <v>0</v>
      </c>
      <c r="AP109" s="2">
        <v>1</v>
      </c>
      <c r="AQ109" s="2">
        <v>1</v>
      </c>
      <c r="AR109" s="2">
        <v>0</v>
      </c>
      <c r="AS109" s="2">
        <v>0</v>
      </c>
      <c r="AT109" s="2">
        <v>0</v>
      </c>
      <c r="AU109" s="2">
        <v>1</v>
      </c>
      <c r="AV109" s="2">
        <v>0</v>
      </c>
      <c r="AW109" s="2">
        <v>0</v>
      </c>
      <c r="AX109" s="2">
        <v>1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1</v>
      </c>
      <c r="BG109" s="2">
        <v>0</v>
      </c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>
        <v>1</v>
      </c>
      <c r="BV109" s="2">
        <v>1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1</v>
      </c>
      <c r="CC109" s="2">
        <v>0</v>
      </c>
      <c r="CD109" s="2">
        <v>1</v>
      </c>
      <c r="CE109" s="2">
        <v>0</v>
      </c>
      <c r="CF109" s="2">
        <v>0</v>
      </c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>
        <v>4</v>
      </c>
      <c r="CR109" s="2" t="s">
        <v>145</v>
      </c>
      <c r="CS109" s="2">
        <v>4</v>
      </c>
      <c r="CT109" s="2" t="s">
        <v>145</v>
      </c>
      <c r="CU109" s="2">
        <v>5</v>
      </c>
      <c r="CV109" s="2" t="s">
        <v>146</v>
      </c>
      <c r="CW109" s="2">
        <v>4</v>
      </c>
      <c r="CX109" s="2" t="s">
        <v>145</v>
      </c>
    </row>
    <row r="110" ht="46" customHeight="1" spans="1:102">
      <c r="A110" s="2" t="s">
        <v>446</v>
      </c>
      <c r="B110" s="2">
        <v>110</v>
      </c>
      <c r="C110" s="2" t="s">
        <v>316</v>
      </c>
      <c r="D110" s="2">
        <v>1</v>
      </c>
      <c r="E110" s="2">
        <v>0</v>
      </c>
      <c r="F110" s="2">
        <v>136</v>
      </c>
      <c r="G110" s="2" t="s">
        <v>7</v>
      </c>
      <c r="H110" s="2" t="s">
        <v>24</v>
      </c>
      <c r="I110" s="2" t="s">
        <v>29</v>
      </c>
      <c r="J110" s="2" t="s">
        <v>37</v>
      </c>
      <c r="K110" s="2" t="s">
        <v>42</v>
      </c>
      <c r="L110" s="2">
        <v>1</v>
      </c>
      <c r="M110" s="2" t="s">
        <v>47</v>
      </c>
      <c r="N110" s="2" t="s">
        <v>85</v>
      </c>
      <c r="O110" s="2">
        <v>0</v>
      </c>
      <c r="P110" s="2" t="s">
        <v>321</v>
      </c>
      <c r="Q110" s="2">
        <v>1</v>
      </c>
      <c r="R110" s="2">
        <v>0</v>
      </c>
      <c r="S110" s="2">
        <v>1</v>
      </c>
      <c r="T110" s="2">
        <v>1</v>
      </c>
      <c r="U110" s="2">
        <v>1</v>
      </c>
      <c r="V110" s="2" t="s">
        <v>289</v>
      </c>
      <c r="W110" s="2" t="s">
        <v>299</v>
      </c>
      <c r="X110" s="2" t="s">
        <v>85</v>
      </c>
      <c r="Y110" s="2">
        <v>1</v>
      </c>
      <c r="Z110" s="2">
        <v>0</v>
      </c>
      <c r="AA110" s="2">
        <v>0</v>
      </c>
      <c r="AB110" s="2">
        <v>0</v>
      </c>
      <c r="AC110" s="2">
        <v>1</v>
      </c>
      <c r="AD110" s="2">
        <v>0</v>
      </c>
      <c r="AE110" s="2">
        <v>0</v>
      </c>
      <c r="AF110" s="2">
        <v>0</v>
      </c>
      <c r="AG110" s="2">
        <v>1</v>
      </c>
      <c r="AH110" s="2">
        <v>0</v>
      </c>
      <c r="AI110" s="2">
        <v>0</v>
      </c>
      <c r="AJ110" s="2">
        <v>0</v>
      </c>
      <c r="AK110" s="2">
        <v>1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/>
      <c r="AS110" s="2"/>
      <c r="AT110" s="2"/>
      <c r="AU110" s="2"/>
      <c r="AV110" s="2"/>
      <c r="AW110" s="2"/>
      <c r="AX110" s="2">
        <v>0</v>
      </c>
      <c r="AY110" s="2"/>
      <c r="AZ110" s="2"/>
      <c r="BA110" s="2"/>
      <c r="BB110" s="2"/>
      <c r="BC110" s="2"/>
      <c r="BD110" s="2"/>
      <c r="BE110" s="2"/>
      <c r="BF110" s="2"/>
      <c r="BG110" s="2">
        <v>0</v>
      </c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>
        <v>1</v>
      </c>
      <c r="BV110" s="2">
        <v>1</v>
      </c>
      <c r="BW110" s="2">
        <v>0</v>
      </c>
      <c r="BX110" s="2">
        <v>0</v>
      </c>
      <c r="BY110" s="2">
        <v>0</v>
      </c>
      <c r="BZ110" s="2">
        <v>0</v>
      </c>
      <c r="CA110" s="2">
        <v>1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</row>
    <row r="111" ht="46" customHeight="1" spans="1:102">
      <c r="A111" s="2" t="s">
        <v>447</v>
      </c>
      <c r="B111" s="2">
        <v>111</v>
      </c>
      <c r="C111" s="2" t="s">
        <v>316</v>
      </c>
      <c r="D111" s="2">
        <v>1</v>
      </c>
      <c r="E111" s="2">
        <v>0</v>
      </c>
      <c r="F111" s="2">
        <v>213</v>
      </c>
      <c r="G111" s="2" t="s">
        <v>9</v>
      </c>
      <c r="H111" s="2" t="s">
        <v>23</v>
      </c>
      <c r="I111" s="2" t="s">
        <v>29</v>
      </c>
      <c r="J111" s="2" t="s">
        <v>38</v>
      </c>
      <c r="K111" s="2" t="s">
        <v>49</v>
      </c>
      <c r="L111" s="2">
        <v>1</v>
      </c>
      <c r="M111" s="2" t="s">
        <v>47</v>
      </c>
      <c r="N111" s="2" t="s">
        <v>85</v>
      </c>
      <c r="O111" s="2">
        <v>0</v>
      </c>
      <c r="P111" s="2" t="s">
        <v>351</v>
      </c>
      <c r="Q111" s="2">
        <v>1</v>
      </c>
      <c r="R111" s="2">
        <v>0</v>
      </c>
      <c r="S111" s="2">
        <v>1</v>
      </c>
      <c r="T111" s="2">
        <v>1</v>
      </c>
      <c r="U111" s="2">
        <v>0</v>
      </c>
      <c r="V111" s="2" t="s">
        <v>289</v>
      </c>
      <c r="W111" s="2" t="s">
        <v>299</v>
      </c>
      <c r="X111" s="2" t="s">
        <v>85</v>
      </c>
      <c r="Y111" s="2">
        <v>1</v>
      </c>
      <c r="Z111" s="2">
        <v>0</v>
      </c>
      <c r="AA111" s="2">
        <v>0</v>
      </c>
      <c r="AB111" s="2">
        <v>0</v>
      </c>
      <c r="AC111" s="2">
        <v>1</v>
      </c>
      <c r="AD111" s="2">
        <v>1</v>
      </c>
      <c r="AE111" s="2">
        <v>0</v>
      </c>
      <c r="AF111" s="2">
        <v>0</v>
      </c>
      <c r="AG111" s="2">
        <v>1</v>
      </c>
      <c r="AH111" s="2">
        <v>0</v>
      </c>
      <c r="AI111" s="2">
        <v>1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/>
      <c r="AS111" s="2"/>
      <c r="AT111" s="2"/>
      <c r="AU111" s="2"/>
      <c r="AV111" s="2"/>
      <c r="AW111" s="2"/>
      <c r="AX111" s="2">
        <v>0</v>
      </c>
      <c r="AY111" s="2"/>
      <c r="AZ111" s="2"/>
      <c r="BA111" s="2"/>
      <c r="BB111" s="2"/>
      <c r="BC111" s="2"/>
      <c r="BD111" s="2"/>
      <c r="BE111" s="2"/>
      <c r="BF111" s="2"/>
      <c r="BG111" s="2">
        <v>0</v>
      </c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>
        <v>1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1</v>
      </c>
      <c r="CC111" s="2">
        <v>0</v>
      </c>
      <c r="CD111" s="2">
        <v>0</v>
      </c>
      <c r="CE111" s="2">
        <v>0</v>
      </c>
      <c r="CF111" s="2">
        <v>0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</row>
    <row r="112" ht="46" customHeight="1" spans="1:102">
      <c r="A112" s="2" t="s">
        <v>448</v>
      </c>
      <c r="B112" s="2">
        <v>112</v>
      </c>
      <c r="C112" s="2" t="s">
        <v>286</v>
      </c>
      <c r="D112" s="2">
        <v>1</v>
      </c>
      <c r="E112" s="2">
        <v>1</v>
      </c>
      <c r="F112" s="2">
        <v>193</v>
      </c>
      <c r="G112" s="2" t="s">
        <v>9</v>
      </c>
      <c r="H112" s="2" t="s">
        <v>24</v>
      </c>
      <c r="I112" s="2" t="s">
        <v>28</v>
      </c>
      <c r="J112" s="2" t="s">
        <v>34</v>
      </c>
      <c r="K112" s="2" t="s">
        <v>42</v>
      </c>
      <c r="L112" s="2">
        <v>1</v>
      </c>
      <c r="M112" s="2" t="s">
        <v>45</v>
      </c>
      <c r="N112" s="2" t="s">
        <v>86</v>
      </c>
      <c r="O112" s="2">
        <v>0</v>
      </c>
      <c r="P112" s="2" t="s">
        <v>323</v>
      </c>
      <c r="Q112" s="2">
        <v>0</v>
      </c>
      <c r="R112" s="2">
        <v>0</v>
      </c>
      <c r="S112" s="2">
        <v>1</v>
      </c>
      <c r="T112" s="2">
        <v>0</v>
      </c>
      <c r="U112" s="2">
        <v>0</v>
      </c>
      <c r="V112" s="2" t="s">
        <v>324</v>
      </c>
      <c r="W112" s="2" t="s">
        <v>325</v>
      </c>
      <c r="X112" s="2" t="s">
        <v>86</v>
      </c>
      <c r="Y112" s="2">
        <v>1</v>
      </c>
      <c r="Z112" s="2">
        <v>0</v>
      </c>
      <c r="AA112" s="2">
        <v>0</v>
      </c>
      <c r="AB112" s="2">
        <v>0</v>
      </c>
      <c r="AC112" s="2">
        <v>0</v>
      </c>
      <c r="AD112" s="2">
        <v>1</v>
      </c>
      <c r="AE112" s="2">
        <v>1</v>
      </c>
      <c r="AF112" s="2">
        <v>0</v>
      </c>
      <c r="AG112" s="2">
        <v>1</v>
      </c>
      <c r="AH112" s="2">
        <v>1</v>
      </c>
      <c r="AI112" s="2">
        <v>1</v>
      </c>
      <c r="AJ112" s="2">
        <v>0</v>
      </c>
      <c r="AK112" s="2">
        <v>0</v>
      </c>
      <c r="AL112" s="2">
        <v>1</v>
      </c>
      <c r="AM112" s="2">
        <v>0</v>
      </c>
      <c r="AN112" s="2">
        <v>0</v>
      </c>
      <c r="AO112" s="2">
        <v>0</v>
      </c>
      <c r="AP112" s="2">
        <v>1</v>
      </c>
      <c r="AQ112" s="2">
        <v>0</v>
      </c>
      <c r="AR112" s="2"/>
      <c r="AS112" s="2"/>
      <c r="AT112" s="2"/>
      <c r="AU112" s="2"/>
      <c r="AV112" s="2"/>
      <c r="AW112" s="2"/>
      <c r="AX112" s="2">
        <v>0</v>
      </c>
      <c r="AY112" s="2"/>
      <c r="AZ112" s="2"/>
      <c r="BA112" s="2"/>
      <c r="BB112" s="2"/>
      <c r="BC112" s="2"/>
      <c r="BD112" s="2"/>
      <c r="BE112" s="2"/>
      <c r="BF112" s="2"/>
      <c r="BG112" s="2">
        <v>0</v>
      </c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>
        <v>1</v>
      </c>
      <c r="BV112" s="2">
        <v>1</v>
      </c>
      <c r="BW112" s="2">
        <v>1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1</v>
      </c>
      <c r="CG112" s="2">
        <v>0</v>
      </c>
      <c r="CH112" s="2">
        <v>1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/>
      <c r="CR112" s="2"/>
      <c r="CS112" s="2"/>
      <c r="CT112" s="2"/>
      <c r="CU112" s="2"/>
      <c r="CV112" s="2"/>
      <c r="CW112" s="2"/>
      <c r="CX112" s="2"/>
    </row>
    <row r="113" ht="46" customHeight="1" spans="1:102">
      <c r="A113" s="2" t="s">
        <v>449</v>
      </c>
      <c r="B113" s="2">
        <v>113</v>
      </c>
      <c r="C113" s="2" t="s">
        <v>286</v>
      </c>
      <c r="D113" s="2">
        <v>1</v>
      </c>
      <c r="E113" s="2">
        <v>1</v>
      </c>
      <c r="F113" s="2">
        <v>266</v>
      </c>
      <c r="G113" s="2" t="s">
        <v>9</v>
      </c>
      <c r="H113" s="2" t="s">
        <v>23</v>
      </c>
      <c r="I113" s="2" t="s">
        <v>30</v>
      </c>
      <c r="J113" s="2" t="s">
        <v>37</v>
      </c>
      <c r="K113" s="2" t="s">
        <v>48</v>
      </c>
      <c r="L113" s="2">
        <v>1</v>
      </c>
      <c r="M113" s="2" t="s">
        <v>45</v>
      </c>
      <c r="N113" s="2" t="s">
        <v>86</v>
      </c>
      <c r="O113" s="2">
        <v>0</v>
      </c>
      <c r="P113" s="2" t="s">
        <v>323</v>
      </c>
      <c r="Q113" s="2">
        <v>0</v>
      </c>
      <c r="R113" s="2">
        <v>0</v>
      </c>
      <c r="S113" s="2">
        <v>1</v>
      </c>
      <c r="T113" s="2">
        <v>0</v>
      </c>
      <c r="U113" s="2">
        <v>0</v>
      </c>
      <c r="V113" s="2" t="s">
        <v>324</v>
      </c>
      <c r="W113" s="2" t="s">
        <v>325</v>
      </c>
      <c r="X113" s="2" t="s">
        <v>86</v>
      </c>
      <c r="Y113" s="2">
        <v>1</v>
      </c>
      <c r="Z113" s="2">
        <v>1</v>
      </c>
      <c r="AA113" s="2">
        <v>0</v>
      </c>
      <c r="AB113" s="2">
        <v>1</v>
      </c>
      <c r="AC113" s="2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0</v>
      </c>
      <c r="AI113" s="2">
        <v>0</v>
      </c>
      <c r="AJ113" s="2">
        <v>1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1</v>
      </c>
      <c r="AQ113" s="2">
        <v>0</v>
      </c>
      <c r="AR113" s="2"/>
      <c r="AS113" s="2"/>
      <c r="AT113" s="2"/>
      <c r="AU113" s="2"/>
      <c r="AV113" s="2"/>
      <c r="AW113" s="2"/>
      <c r="AX113" s="2">
        <v>0</v>
      </c>
      <c r="AY113" s="2"/>
      <c r="AZ113" s="2"/>
      <c r="BA113" s="2"/>
      <c r="BB113" s="2"/>
      <c r="BC113" s="2"/>
      <c r="BD113" s="2"/>
      <c r="BE113" s="2"/>
      <c r="BF113" s="2"/>
      <c r="BG113" s="2">
        <v>0</v>
      </c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>
        <v>1</v>
      </c>
      <c r="BV113" s="2">
        <v>0</v>
      </c>
      <c r="BW113" s="2">
        <v>0</v>
      </c>
      <c r="BX113" s="2">
        <v>0</v>
      </c>
      <c r="BY113" s="2">
        <v>0</v>
      </c>
      <c r="BZ113" s="2">
        <v>1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1</v>
      </c>
      <c r="CG113" s="2">
        <v>0</v>
      </c>
      <c r="CH113" s="2">
        <v>1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/>
      <c r="CR113" s="2"/>
      <c r="CS113" s="2"/>
      <c r="CT113" s="2"/>
      <c r="CU113" s="2"/>
      <c r="CV113" s="2"/>
      <c r="CW113" s="2"/>
      <c r="CX113" s="2"/>
    </row>
    <row r="114" ht="46" customHeight="1" spans="1:102">
      <c r="A114" s="2" t="s">
        <v>450</v>
      </c>
      <c r="B114" s="2">
        <v>114</v>
      </c>
      <c r="C114" s="2" t="s">
        <v>316</v>
      </c>
      <c r="D114" s="2">
        <v>1</v>
      </c>
      <c r="E114" s="2">
        <v>0</v>
      </c>
      <c r="F114" s="2">
        <v>195</v>
      </c>
      <c r="G114" s="2" t="s">
        <v>9</v>
      </c>
      <c r="H114" s="2" t="s">
        <v>23</v>
      </c>
      <c r="I114" s="2" t="s">
        <v>28</v>
      </c>
      <c r="J114" s="2" t="s">
        <v>36</v>
      </c>
      <c r="K114" s="2" t="s">
        <v>42</v>
      </c>
      <c r="L114" s="2">
        <v>1</v>
      </c>
      <c r="M114" s="2" t="s">
        <v>45</v>
      </c>
      <c r="N114" s="2" t="s">
        <v>85</v>
      </c>
      <c r="O114" s="2">
        <v>0</v>
      </c>
      <c r="P114" s="2" t="s">
        <v>451</v>
      </c>
      <c r="Q114" s="2">
        <v>1</v>
      </c>
      <c r="R114" s="2">
        <v>0</v>
      </c>
      <c r="S114" s="2">
        <v>1</v>
      </c>
      <c r="T114" s="2">
        <v>0</v>
      </c>
      <c r="U114" s="2">
        <v>1</v>
      </c>
      <c r="V114" s="2" t="s">
        <v>293</v>
      </c>
      <c r="W114" s="2" t="s">
        <v>299</v>
      </c>
      <c r="X114" s="2" t="s">
        <v>85</v>
      </c>
      <c r="Y114" s="2">
        <v>1</v>
      </c>
      <c r="Z114" s="2">
        <v>1</v>
      </c>
      <c r="AA114" s="2">
        <v>0</v>
      </c>
      <c r="AB114" s="2">
        <v>1</v>
      </c>
      <c r="AC114" s="2">
        <v>0</v>
      </c>
      <c r="AD114" s="2">
        <v>0</v>
      </c>
      <c r="AE114" s="2">
        <v>1</v>
      </c>
      <c r="AF114" s="2">
        <v>0</v>
      </c>
      <c r="AG114" s="2">
        <v>0</v>
      </c>
      <c r="AH114" s="2"/>
      <c r="AI114" s="2"/>
      <c r="AJ114" s="2"/>
      <c r="AK114" s="2"/>
      <c r="AL114" s="2"/>
      <c r="AM114" s="2"/>
      <c r="AN114" s="2"/>
      <c r="AO114" s="2"/>
      <c r="AP114" s="2"/>
      <c r="AQ114" s="2">
        <v>0</v>
      </c>
      <c r="AR114" s="2"/>
      <c r="AS114" s="2"/>
      <c r="AT114" s="2"/>
      <c r="AU114" s="2"/>
      <c r="AV114" s="2"/>
      <c r="AW114" s="2"/>
      <c r="AX114" s="2">
        <v>0</v>
      </c>
      <c r="AY114" s="2"/>
      <c r="AZ114" s="2"/>
      <c r="BA114" s="2"/>
      <c r="BB114" s="2"/>
      <c r="BC114" s="2"/>
      <c r="BD114" s="2"/>
      <c r="BE114" s="2"/>
      <c r="BF114" s="2"/>
      <c r="BG114" s="2">
        <v>0</v>
      </c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>
        <v>1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1</v>
      </c>
      <c r="CC114" s="2">
        <v>1</v>
      </c>
      <c r="CD114" s="2">
        <v>1</v>
      </c>
      <c r="CE114" s="2">
        <v>0</v>
      </c>
      <c r="CF114" s="2">
        <v>1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1</v>
      </c>
      <c r="CM114" s="2">
        <v>0</v>
      </c>
      <c r="CN114" s="2">
        <v>0</v>
      </c>
      <c r="CO114" s="2">
        <v>0</v>
      </c>
      <c r="CP114" s="2">
        <v>0</v>
      </c>
      <c r="CQ114" s="2"/>
      <c r="CR114" s="2"/>
      <c r="CS114" s="2"/>
      <c r="CT114" s="2"/>
      <c r="CU114" s="2"/>
      <c r="CV114" s="2"/>
      <c r="CW114" s="2"/>
      <c r="CX114" s="2"/>
    </row>
    <row r="115" ht="46" customHeight="1" spans="1:102">
      <c r="A115" s="2" t="s">
        <v>452</v>
      </c>
      <c r="B115" s="2">
        <v>115</v>
      </c>
      <c r="C115" s="2" t="s">
        <v>316</v>
      </c>
      <c r="D115" s="2">
        <v>1</v>
      </c>
      <c r="E115" s="2">
        <v>0</v>
      </c>
      <c r="F115" s="2">
        <v>173</v>
      </c>
      <c r="G115" s="2" t="s">
        <v>9</v>
      </c>
      <c r="H115" s="2" t="s">
        <v>24</v>
      </c>
      <c r="I115" s="2" t="s">
        <v>28</v>
      </c>
      <c r="J115" s="2" t="s">
        <v>37</v>
      </c>
      <c r="K115" s="2" t="s">
        <v>42</v>
      </c>
      <c r="L115" s="2">
        <v>1</v>
      </c>
      <c r="M115" s="2" t="s">
        <v>45</v>
      </c>
      <c r="N115" s="2" t="s">
        <v>287</v>
      </c>
      <c r="O115" s="2">
        <v>0</v>
      </c>
      <c r="P115" s="2" t="s">
        <v>453</v>
      </c>
      <c r="Q115" s="2">
        <v>1</v>
      </c>
      <c r="R115" s="2">
        <v>0</v>
      </c>
      <c r="S115" s="2">
        <v>1</v>
      </c>
      <c r="T115" s="2">
        <v>1</v>
      </c>
      <c r="U115" s="2">
        <v>1</v>
      </c>
      <c r="V115" s="2" t="s">
        <v>289</v>
      </c>
      <c r="W115" s="2" t="s">
        <v>290</v>
      </c>
      <c r="X115" s="2" t="s">
        <v>83</v>
      </c>
      <c r="Y115" s="2">
        <v>1</v>
      </c>
      <c r="Z115" s="2">
        <v>0</v>
      </c>
      <c r="AA115" s="2">
        <v>0</v>
      </c>
      <c r="AB115" s="2">
        <v>0</v>
      </c>
      <c r="AC115" s="2">
        <v>1</v>
      </c>
      <c r="AD115" s="2">
        <v>0</v>
      </c>
      <c r="AE115" s="2">
        <v>0</v>
      </c>
      <c r="AF115" s="2">
        <v>0</v>
      </c>
      <c r="AG115" s="2">
        <v>0</v>
      </c>
      <c r="AH115" s="2"/>
      <c r="AI115" s="2"/>
      <c r="AJ115" s="2"/>
      <c r="AK115" s="2"/>
      <c r="AL115" s="2"/>
      <c r="AM115" s="2"/>
      <c r="AN115" s="2"/>
      <c r="AO115" s="2"/>
      <c r="AP115" s="2"/>
      <c r="AQ115" s="2">
        <v>0</v>
      </c>
      <c r="AR115" s="2"/>
      <c r="AS115" s="2"/>
      <c r="AT115" s="2"/>
      <c r="AU115" s="2"/>
      <c r="AV115" s="2"/>
      <c r="AW115" s="2"/>
      <c r="AX115" s="2">
        <v>1</v>
      </c>
      <c r="AY115" s="2">
        <v>1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1</v>
      </c>
      <c r="BG115" s="2">
        <v>0</v>
      </c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>
        <v>1</v>
      </c>
      <c r="BV115" s="2">
        <v>0</v>
      </c>
      <c r="BW115" s="2">
        <v>1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</v>
      </c>
      <c r="CE115" s="2">
        <v>0</v>
      </c>
      <c r="CF115" s="2">
        <v>0</v>
      </c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</row>
    <row r="116" ht="46" customHeight="1" spans="1:102">
      <c r="A116" s="2" t="s">
        <v>454</v>
      </c>
      <c r="B116" s="2">
        <v>116</v>
      </c>
      <c r="C116" s="2" t="s">
        <v>316</v>
      </c>
      <c r="D116" s="2">
        <v>1</v>
      </c>
      <c r="E116" s="2">
        <v>0</v>
      </c>
      <c r="F116" s="2">
        <v>269</v>
      </c>
      <c r="G116" s="2" t="s">
        <v>9</v>
      </c>
      <c r="H116" s="2" t="s">
        <v>24</v>
      </c>
      <c r="I116" s="2" t="s">
        <v>28</v>
      </c>
      <c r="J116" s="2" t="s">
        <v>36</v>
      </c>
      <c r="K116" s="2" t="s">
        <v>42</v>
      </c>
      <c r="L116" s="2">
        <v>1</v>
      </c>
      <c r="M116" s="2" t="s">
        <v>43</v>
      </c>
      <c r="N116" s="2" t="s">
        <v>85</v>
      </c>
      <c r="O116" s="2">
        <v>0</v>
      </c>
      <c r="P116" s="2" t="s">
        <v>336</v>
      </c>
      <c r="Q116" s="2">
        <v>1</v>
      </c>
      <c r="R116" s="2">
        <v>0</v>
      </c>
      <c r="S116" s="2">
        <v>1</v>
      </c>
      <c r="T116" s="2">
        <v>0</v>
      </c>
      <c r="U116" s="2">
        <v>1</v>
      </c>
      <c r="V116" s="2" t="s">
        <v>289</v>
      </c>
      <c r="W116" s="2" t="s">
        <v>299</v>
      </c>
      <c r="X116" s="2" t="s">
        <v>85</v>
      </c>
      <c r="Y116" s="2">
        <v>1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1</v>
      </c>
      <c r="AH116" s="2">
        <v>0</v>
      </c>
      <c r="AI116" s="2">
        <v>1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</v>
      </c>
      <c r="AR116" s="2">
        <v>0</v>
      </c>
      <c r="AS116" s="2">
        <v>0</v>
      </c>
      <c r="AT116" s="2">
        <v>1</v>
      </c>
      <c r="AU116" s="2">
        <v>1</v>
      </c>
      <c r="AV116" s="2">
        <v>1</v>
      </c>
      <c r="AW116" s="2">
        <v>0</v>
      </c>
      <c r="AX116" s="2">
        <v>0</v>
      </c>
      <c r="AY116" s="2"/>
      <c r="AZ116" s="2"/>
      <c r="BA116" s="2"/>
      <c r="BB116" s="2"/>
      <c r="BC116" s="2"/>
      <c r="BD116" s="2"/>
      <c r="BE116" s="2"/>
      <c r="BF116" s="2"/>
      <c r="BG116" s="2">
        <v>0</v>
      </c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>
        <v>1</v>
      </c>
      <c r="BV116" s="2">
        <v>0</v>
      </c>
      <c r="BW116" s="2">
        <v>1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1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1</v>
      </c>
      <c r="CP116" s="2">
        <v>0</v>
      </c>
      <c r="CQ116" s="2"/>
      <c r="CR116" s="2"/>
      <c r="CS116" s="2"/>
      <c r="CT116" s="2"/>
      <c r="CU116" s="2"/>
      <c r="CV116" s="2"/>
      <c r="CW116" s="2"/>
      <c r="CX116" s="2"/>
    </row>
    <row r="117" ht="46" customHeight="1" spans="1:102">
      <c r="A117" s="2" t="s">
        <v>455</v>
      </c>
      <c r="B117" s="2">
        <v>117</v>
      </c>
      <c r="C117" s="2" t="s">
        <v>286</v>
      </c>
      <c r="D117" s="2">
        <v>1</v>
      </c>
      <c r="E117" s="2">
        <v>1</v>
      </c>
      <c r="F117" s="2">
        <v>224</v>
      </c>
      <c r="G117" s="2" t="s">
        <v>9</v>
      </c>
      <c r="H117" s="2" t="s">
        <v>24</v>
      </c>
      <c r="I117" s="2" t="s">
        <v>28</v>
      </c>
      <c r="J117" s="2" t="s">
        <v>37</v>
      </c>
      <c r="K117" s="2" t="s">
        <v>46</v>
      </c>
      <c r="L117" s="2">
        <v>0</v>
      </c>
      <c r="M117" s="2" t="s">
        <v>43</v>
      </c>
      <c r="N117" s="2" t="s">
        <v>85</v>
      </c>
      <c r="O117" s="2">
        <v>1</v>
      </c>
      <c r="P117" s="2" t="s">
        <v>329</v>
      </c>
      <c r="Q117" s="2">
        <v>0</v>
      </c>
      <c r="R117" s="2">
        <v>0</v>
      </c>
      <c r="S117" s="2">
        <v>1</v>
      </c>
      <c r="T117" s="2">
        <v>0</v>
      </c>
      <c r="U117" s="2">
        <v>0</v>
      </c>
      <c r="V117" s="2" t="s">
        <v>324</v>
      </c>
      <c r="W117" s="2" t="s">
        <v>325</v>
      </c>
      <c r="X117" s="2" t="s">
        <v>85</v>
      </c>
      <c r="Y117" s="2">
        <v>0</v>
      </c>
      <c r="Z117" s="2"/>
      <c r="AA117" s="2"/>
      <c r="AB117" s="2"/>
      <c r="AC117" s="2"/>
      <c r="AD117" s="2"/>
      <c r="AE117" s="2"/>
      <c r="AF117" s="2"/>
      <c r="AG117" s="2">
        <v>0</v>
      </c>
      <c r="AH117" s="2"/>
      <c r="AI117" s="2"/>
      <c r="AJ117" s="2"/>
      <c r="AK117" s="2"/>
      <c r="AL117" s="2"/>
      <c r="AM117" s="2"/>
      <c r="AN117" s="2"/>
      <c r="AO117" s="2"/>
      <c r="AP117" s="2"/>
      <c r="AQ117" s="2">
        <v>0</v>
      </c>
      <c r="AR117" s="2"/>
      <c r="AS117" s="2"/>
      <c r="AT117" s="2"/>
      <c r="AU117" s="2"/>
      <c r="AV117" s="2"/>
      <c r="AW117" s="2"/>
      <c r="AX117" s="2">
        <v>0</v>
      </c>
      <c r="AY117" s="2"/>
      <c r="AZ117" s="2"/>
      <c r="BA117" s="2"/>
      <c r="BB117" s="2"/>
      <c r="BC117" s="2"/>
      <c r="BD117" s="2"/>
      <c r="BE117" s="2"/>
      <c r="BF117" s="2"/>
      <c r="BG117" s="2">
        <v>0</v>
      </c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>
        <v>1</v>
      </c>
      <c r="BV117" s="2">
        <v>0</v>
      </c>
      <c r="BW117" s="2">
        <v>0</v>
      </c>
      <c r="BX117" s="2">
        <v>0</v>
      </c>
      <c r="BY117" s="2">
        <v>0</v>
      </c>
      <c r="BZ117" s="2">
        <v>1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1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1</v>
      </c>
      <c r="CP117" s="2">
        <v>0</v>
      </c>
      <c r="CQ117" s="2"/>
      <c r="CR117" s="2"/>
      <c r="CS117" s="2"/>
      <c r="CT117" s="2"/>
      <c r="CU117" s="2"/>
      <c r="CV117" s="2"/>
      <c r="CW117" s="2"/>
      <c r="CX117" s="2"/>
    </row>
    <row r="118" ht="46" customHeight="1" spans="1:102">
      <c r="A118" s="2" t="s">
        <v>456</v>
      </c>
      <c r="B118" s="2">
        <v>118</v>
      </c>
      <c r="C118" s="2" t="s">
        <v>286</v>
      </c>
      <c r="D118" s="2">
        <v>1</v>
      </c>
      <c r="E118" s="2">
        <v>1</v>
      </c>
      <c r="F118" s="2">
        <v>254</v>
      </c>
      <c r="G118" s="2" t="s">
        <v>14</v>
      </c>
      <c r="H118" s="2" t="s">
        <v>23</v>
      </c>
      <c r="I118" s="2" t="s">
        <v>28</v>
      </c>
      <c r="J118" s="2" t="s">
        <v>35</v>
      </c>
      <c r="K118" s="2" t="s">
        <v>44</v>
      </c>
      <c r="L118" s="2">
        <v>1</v>
      </c>
      <c r="M118" s="2" t="s">
        <v>43</v>
      </c>
      <c r="N118" s="2" t="s">
        <v>85</v>
      </c>
      <c r="O118" s="2">
        <v>1</v>
      </c>
      <c r="P118" s="2" t="s">
        <v>457</v>
      </c>
      <c r="Q118" s="2">
        <v>0</v>
      </c>
      <c r="R118" s="2">
        <v>0</v>
      </c>
      <c r="S118" s="2">
        <v>1</v>
      </c>
      <c r="T118" s="2">
        <v>1</v>
      </c>
      <c r="U118" s="2">
        <v>0</v>
      </c>
      <c r="V118" s="2" t="s">
        <v>324</v>
      </c>
      <c r="W118" s="2" t="s">
        <v>325</v>
      </c>
      <c r="X118" s="2" t="s">
        <v>85</v>
      </c>
      <c r="Y118" s="2">
        <v>1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1</v>
      </c>
      <c r="AF118" s="2">
        <v>0</v>
      </c>
      <c r="AG118" s="2">
        <v>1</v>
      </c>
      <c r="AH118" s="2">
        <v>0</v>
      </c>
      <c r="AI118" s="2">
        <v>1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1</v>
      </c>
      <c r="AQ118" s="2">
        <v>0</v>
      </c>
      <c r="AR118" s="2"/>
      <c r="AS118" s="2"/>
      <c r="AT118" s="2"/>
      <c r="AU118" s="2"/>
      <c r="AV118" s="2"/>
      <c r="AW118" s="2"/>
      <c r="AX118" s="2">
        <v>0</v>
      </c>
      <c r="AY118" s="2"/>
      <c r="AZ118" s="2"/>
      <c r="BA118" s="2"/>
      <c r="BB118" s="2"/>
      <c r="BC118" s="2"/>
      <c r="BD118" s="2"/>
      <c r="BE118" s="2"/>
      <c r="BF118" s="2"/>
      <c r="BG118" s="2">
        <v>0</v>
      </c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>
        <v>1</v>
      </c>
      <c r="BV118" s="2">
        <v>0</v>
      </c>
      <c r="BW118" s="2">
        <v>1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ht="46" customHeight="1" spans="1:102">
      <c r="A119" s="2" t="s">
        <v>458</v>
      </c>
      <c r="B119" s="2">
        <v>119</v>
      </c>
      <c r="C119" s="2" t="s">
        <v>286</v>
      </c>
      <c r="D119" s="2">
        <v>1</v>
      </c>
      <c r="E119" s="2">
        <v>1</v>
      </c>
      <c r="F119" s="2">
        <v>220</v>
      </c>
      <c r="G119" s="2" t="s">
        <v>7</v>
      </c>
      <c r="H119" s="2" t="s">
        <v>23</v>
      </c>
      <c r="I119" s="2" t="s">
        <v>29</v>
      </c>
      <c r="J119" s="2" t="s">
        <v>37</v>
      </c>
      <c r="K119" s="2" t="s">
        <v>46</v>
      </c>
      <c r="L119" s="2">
        <v>0</v>
      </c>
      <c r="M119" s="2" t="s">
        <v>45</v>
      </c>
      <c r="N119" s="2" t="s">
        <v>86</v>
      </c>
      <c r="O119" s="2">
        <v>0</v>
      </c>
      <c r="P119" s="2" t="s">
        <v>323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  <c r="V119" s="2" t="s">
        <v>324</v>
      </c>
      <c r="W119" s="2" t="s">
        <v>325</v>
      </c>
      <c r="X119" s="2" t="s">
        <v>86</v>
      </c>
      <c r="Y119" s="2">
        <v>0</v>
      </c>
      <c r="Z119" s="2"/>
      <c r="AA119" s="2"/>
      <c r="AB119" s="2"/>
      <c r="AC119" s="2"/>
      <c r="AD119" s="2"/>
      <c r="AE119" s="2"/>
      <c r="AF119" s="2"/>
      <c r="AG119" s="2">
        <v>0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>
        <v>0</v>
      </c>
      <c r="AR119" s="2"/>
      <c r="AS119" s="2"/>
      <c r="AT119" s="2"/>
      <c r="AU119" s="2"/>
      <c r="AV119" s="2"/>
      <c r="AW119" s="2"/>
      <c r="AX119" s="2">
        <v>0</v>
      </c>
      <c r="AY119" s="2"/>
      <c r="AZ119" s="2"/>
      <c r="BA119" s="2"/>
      <c r="BB119" s="2"/>
      <c r="BC119" s="2"/>
      <c r="BD119" s="2"/>
      <c r="BE119" s="2"/>
      <c r="BF119" s="2"/>
      <c r="BG119" s="2">
        <v>0</v>
      </c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>
        <v>1</v>
      </c>
      <c r="BV119" s="2">
        <v>0</v>
      </c>
      <c r="BW119" s="2">
        <v>1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1</v>
      </c>
      <c r="CG119" s="2">
        <v>0</v>
      </c>
      <c r="CH119" s="2">
        <v>0</v>
      </c>
      <c r="CI119" s="2">
        <v>0</v>
      </c>
      <c r="CJ119" s="2">
        <v>1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/>
      <c r="CR119" s="2"/>
      <c r="CS119" s="2"/>
      <c r="CT119" s="2"/>
      <c r="CU119" s="2"/>
      <c r="CV119" s="2"/>
      <c r="CW119" s="2"/>
      <c r="CX119" s="2"/>
    </row>
    <row r="120" ht="46" customHeight="1" spans="1:102">
      <c r="A120" s="2" t="s">
        <v>459</v>
      </c>
      <c r="B120" s="2">
        <v>120</v>
      </c>
      <c r="C120" s="2" t="s">
        <v>286</v>
      </c>
      <c r="D120" s="2">
        <v>1</v>
      </c>
      <c r="E120" s="2">
        <v>1</v>
      </c>
      <c r="F120" s="2">
        <v>643</v>
      </c>
      <c r="G120" s="2" t="s">
        <v>7</v>
      </c>
      <c r="H120" s="2" t="s">
        <v>23</v>
      </c>
      <c r="I120" s="2" t="s">
        <v>28</v>
      </c>
      <c r="J120" s="2" t="s">
        <v>34</v>
      </c>
      <c r="K120" s="2" t="s">
        <v>42</v>
      </c>
      <c r="L120" s="2">
        <v>1</v>
      </c>
      <c r="M120" s="2" t="s">
        <v>43</v>
      </c>
      <c r="N120" s="2" t="s">
        <v>287</v>
      </c>
      <c r="O120" s="2">
        <v>0</v>
      </c>
      <c r="P120" s="2" t="s">
        <v>301</v>
      </c>
      <c r="Q120" s="2">
        <v>0</v>
      </c>
      <c r="R120" s="2">
        <v>0</v>
      </c>
      <c r="S120" s="2">
        <v>0</v>
      </c>
      <c r="T120" s="2">
        <v>1</v>
      </c>
      <c r="U120" s="2">
        <v>0</v>
      </c>
      <c r="V120" s="2" t="s">
        <v>293</v>
      </c>
      <c r="W120" s="2" t="s">
        <v>290</v>
      </c>
      <c r="X120" s="2" t="s">
        <v>84</v>
      </c>
      <c r="Y120" s="2">
        <v>1</v>
      </c>
      <c r="Z120" s="2">
        <v>1</v>
      </c>
      <c r="AA120" s="2">
        <v>0</v>
      </c>
      <c r="AB120" s="2">
        <v>1</v>
      </c>
      <c r="AC120" s="2">
        <v>1</v>
      </c>
      <c r="AD120" s="2">
        <v>0</v>
      </c>
      <c r="AE120" s="2">
        <v>0</v>
      </c>
      <c r="AF120" s="2">
        <v>0</v>
      </c>
      <c r="AG120" s="2">
        <v>1</v>
      </c>
      <c r="AH120" s="2">
        <v>0</v>
      </c>
      <c r="AI120" s="2">
        <v>1</v>
      </c>
      <c r="AJ120" s="2">
        <v>0</v>
      </c>
      <c r="AK120" s="2">
        <v>1</v>
      </c>
      <c r="AL120" s="2">
        <v>0</v>
      </c>
      <c r="AM120" s="2">
        <v>1</v>
      </c>
      <c r="AN120" s="2">
        <v>0</v>
      </c>
      <c r="AO120" s="2">
        <v>0</v>
      </c>
      <c r="AP120" s="2">
        <v>0</v>
      </c>
      <c r="AQ120" s="2">
        <v>1</v>
      </c>
      <c r="AR120" s="2">
        <v>0</v>
      </c>
      <c r="AS120" s="2">
        <v>0</v>
      </c>
      <c r="AT120" s="2">
        <v>1</v>
      </c>
      <c r="AU120" s="2">
        <v>1</v>
      </c>
      <c r="AV120" s="2">
        <v>0</v>
      </c>
      <c r="AW120" s="2">
        <v>0</v>
      </c>
      <c r="AX120" s="2">
        <v>1</v>
      </c>
      <c r="AY120" s="2">
        <v>0</v>
      </c>
      <c r="AZ120" s="2">
        <v>0</v>
      </c>
      <c r="BA120" s="2">
        <v>0</v>
      </c>
      <c r="BB120" s="2">
        <v>0</v>
      </c>
      <c r="BC120" s="2">
        <v>1</v>
      </c>
      <c r="BD120" s="2">
        <v>0</v>
      </c>
      <c r="BE120" s="2">
        <v>0</v>
      </c>
      <c r="BF120" s="2">
        <v>0</v>
      </c>
      <c r="BG120" s="2">
        <v>1</v>
      </c>
      <c r="BH120" s="2">
        <v>1</v>
      </c>
      <c r="BI120" s="2">
        <v>0</v>
      </c>
      <c r="BJ120" s="2">
        <v>0</v>
      </c>
      <c r="BK120" s="2">
        <v>1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1</v>
      </c>
      <c r="BR120" s="2">
        <v>0</v>
      </c>
      <c r="BS120" s="2">
        <v>0</v>
      </c>
      <c r="BT120" s="2">
        <v>0</v>
      </c>
      <c r="BU120" s="2">
        <v>1</v>
      </c>
      <c r="BV120" s="2">
        <v>1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1</v>
      </c>
      <c r="CD120" s="2">
        <v>1</v>
      </c>
      <c r="CE120" s="2">
        <v>0</v>
      </c>
      <c r="CF120" s="2">
        <v>0</v>
      </c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>
        <v>5</v>
      </c>
      <c r="CR120" s="2" t="s">
        <v>146</v>
      </c>
      <c r="CS120" s="2">
        <v>3</v>
      </c>
      <c r="CT120" s="2" t="s">
        <v>47</v>
      </c>
      <c r="CU120" s="2">
        <v>4</v>
      </c>
      <c r="CV120" s="2" t="s">
        <v>145</v>
      </c>
      <c r="CW120" s="2">
        <v>5</v>
      </c>
      <c r="CX120" s="2" t="s">
        <v>146</v>
      </c>
    </row>
    <row r="121" ht="46" customHeight="1" spans="1:102">
      <c r="A121" s="2" t="s">
        <v>460</v>
      </c>
      <c r="B121" s="2">
        <v>121</v>
      </c>
      <c r="C121" s="2" t="s">
        <v>286</v>
      </c>
      <c r="D121" s="2">
        <v>1</v>
      </c>
      <c r="E121" s="2">
        <v>1</v>
      </c>
      <c r="F121" s="2">
        <v>352</v>
      </c>
      <c r="G121" s="2" t="s">
        <v>9</v>
      </c>
      <c r="H121" s="2" t="s">
        <v>24</v>
      </c>
      <c r="I121" s="2" t="s">
        <v>28</v>
      </c>
      <c r="J121" s="2" t="s">
        <v>34</v>
      </c>
      <c r="K121" s="2" t="s">
        <v>48</v>
      </c>
      <c r="L121" s="2">
        <v>1</v>
      </c>
      <c r="M121" s="2" t="s">
        <v>43</v>
      </c>
      <c r="N121" s="2" t="s">
        <v>287</v>
      </c>
      <c r="O121" s="2">
        <v>0</v>
      </c>
      <c r="P121" s="2" t="s">
        <v>298</v>
      </c>
      <c r="Q121" s="2">
        <v>0</v>
      </c>
      <c r="R121" s="2">
        <v>0</v>
      </c>
      <c r="S121" s="2">
        <v>0</v>
      </c>
      <c r="T121" s="2">
        <v>0</v>
      </c>
      <c r="U121" s="2">
        <v>1</v>
      </c>
      <c r="V121" s="2" t="s">
        <v>289</v>
      </c>
      <c r="W121" s="2" t="s">
        <v>294</v>
      </c>
      <c r="X121" s="2" t="s">
        <v>83</v>
      </c>
      <c r="Y121" s="2">
        <v>1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1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1</v>
      </c>
      <c r="AQ121" s="2">
        <v>1</v>
      </c>
      <c r="AR121" s="2">
        <v>0</v>
      </c>
      <c r="AS121" s="2">
        <v>0</v>
      </c>
      <c r="AT121" s="2">
        <v>0</v>
      </c>
      <c r="AU121" s="2">
        <v>1</v>
      </c>
      <c r="AV121" s="2">
        <v>0</v>
      </c>
      <c r="AW121" s="2">
        <v>0</v>
      </c>
      <c r="AX121" s="2">
        <v>1</v>
      </c>
      <c r="AY121" s="2">
        <v>0</v>
      </c>
      <c r="AZ121" s="2">
        <v>1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>
        <v>1</v>
      </c>
      <c r="BV121" s="2">
        <v>0</v>
      </c>
      <c r="BW121" s="2">
        <v>1</v>
      </c>
      <c r="BX121" s="2">
        <v>0</v>
      </c>
      <c r="BY121" s="2">
        <v>0</v>
      </c>
      <c r="BZ121" s="2">
        <v>0</v>
      </c>
      <c r="CA121" s="2">
        <v>0</v>
      </c>
      <c r="CB121" s="2">
        <v>1</v>
      </c>
      <c r="CC121" s="2">
        <v>0</v>
      </c>
      <c r="CD121" s="2">
        <v>0</v>
      </c>
      <c r="CE121" s="2">
        <v>0</v>
      </c>
      <c r="CF121" s="2">
        <v>1</v>
      </c>
      <c r="CG121" s="2">
        <v>0</v>
      </c>
      <c r="CH121" s="2">
        <v>0</v>
      </c>
      <c r="CI121" s="2">
        <v>1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4</v>
      </c>
      <c r="CR121" s="2" t="s">
        <v>145</v>
      </c>
      <c r="CS121" s="2">
        <v>5</v>
      </c>
      <c r="CT121" s="2" t="s">
        <v>146</v>
      </c>
      <c r="CU121" s="2">
        <v>5</v>
      </c>
      <c r="CV121" s="2" t="s">
        <v>146</v>
      </c>
      <c r="CW121" s="2">
        <v>2</v>
      </c>
      <c r="CX121" s="2" t="s">
        <v>143</v>
      </c>
    </row>
    <row r="122" ht="46" customHeight="1" spans="1:102">
      <c r="A122" s="2" t="s">
        <v>461</v>
      </c>
      <c r="B122" s="2">
        <v>122</v>
      </c>
      <c r="C122" s="2" t="s">
        <v>286</v>
      </c>
      <c r="D122" s="2">
        <v>1</v>
      </c>
      <c r="E122" s="2">
        <v>1</v>
      </c>
      <c r="F122" s="2">
        <v>329</v>
      </c>
      <c r="G122" s="2" t="s">
        <v>9</v>
      </c>
      <c r="H122" s="2" t="s">
        <v>24</v>
      </c>
      <c r="I122" s="2" t="s">
        <v>29</v>
      </c>
      <c r="J122" s="2" t="s">
        <v>35</v>
      </c>
      <c r="K122" s="2" t="s">
        <v>42</v>
      </c>
      <c r="L122" s="2">
        <v>1</v>
      </c>
      <c r="M122" s="2" t="s">
        <v>45</v>
      </c>
      <c r="N122" s="2" t="s">
        <v>86</v>
      </c>
      <c r="O122" s="2">
        <v>0</v>
      </c>
      <c r="P122" s="2" t="s">
        <v>301</v>
      </c>
      <c r="Q122" s="2">
        <v>0</v>
      </c>
      <c r="R122" s="2">
        <v>0</v>
      </c>
      <c r="S122" s="2">
        <v>0</v>
      </c>
      <c r="T122" s="2">
        <v>1</v>
      </c>
      <c r="U122" s="2">
        <v>0</v>
      </c>
      <c r="V122" s="2" t="s">
        <v>324</v>
      </c>
      <c r="W122" s="2" t="s">
        <v>325</v>
      </c>
      <c r="X122" s="2" t="s">
        <v>86</v>
      </c>
      <c r="Y122" s="2">
        <v>1</v>
      </c>
      <c r="Z122" s="2">
        <v>0</v>
      </c>
      <c r="AA122" s="2">
        <v>0</v>
      </c>
      <c r="AB122" s="2">
        <v>0</v>
      </c>
      <c r="AC122" s="2">
        <v>0</v>
      </c>
      <c r="AD122" s="2">
        <v>1</v>
      </c>
      <c r="AE122" s="2">
        <v>0</v>
      </c>
      <c r="AF122" s="2">
        <v>0</v>
      </c>
      <c r="AG122" s="2">
        <v>1</v>
      </c>
      <c r="AH122" s="2">
        <v>1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/>
      <c r="AS122" s="2"/>
      <c r="AT122" s="2"/>
      <c r="AU122" s="2"/>
      <c r="AV122" s="2"/>
      <c r="AW122" s="2"/>
      <c r="AX122" s="2">
        <v>0</v>
      </c>
      <c r="AY122" s="2"/>
      <c r="AZ122" s="2"/>
      <c r="BA122" s="2"/>
      <c r="BB122" s="2"/>
      <c r="BC122" s="2"/>
      <c r="BD122" s="2"/>
      <c r="BE122" s="2"/>
      <c r="BF122" s="2"/>
      <c r="BG122" s="2">
        <v>0</v>
      </c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>
        <v>1</v>
      </c>
      <c r="BV122" s="2">
        <v>1</v>
      </c>
      <c r="BW122" s="2">
        <v>1</v>
      </c>
      <c r="BX122" s="2">
        <v>1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>
        <v>3</v>
      </c>
      <c r="CR122" s="2" t="s">
        <v>47</v>
      </c>
      <c r="CS122" s="2">
        <v>1</v>
      </c>
      <c r="CT122" s="2" t="s">
        <v>141</v>
      </c>
      <c r="CU122" s="2">
        <v>4</v>
      </c>
      <c r="CV122" s="2" t="s">
        <v>145</v>
      </c>
      <c r="CW122" s="2">
        <v>4</v>
      </c>
      <c r="CX122" s="2" t="s">
        <v>145</v>
      </c>
    </row>
    <row r="123" ht="46" customHeight="1" spans="1:102">
      <c r="A123" s="2" t="s">
        <v>462</v>
      </c>
      <c r="B123" s="2">
        <v>123</v>
      </c>
      <c r="C123" s="2" t="s">
        <v>286</v>
      </c>
      <c r="D123" s="2">
        <v>1</v>
      </c>
      <c r="E123" s="2">
        <v>1</v>
      </c>
      <c r="F123" s="2">
        <v>567</v>
      </c>
      <c r="G123" s="2" t="s">
        <v>9</v>
      </c>
      <c r="H123" s="2" t="s">
        <v>24</v>
      </c>
      <c r="I123" s="2" t="s">
        <v>29</v>
      </c>
      <c r="J123" s="2" t="s">
        <v>34</v>
      </c>
      <c r="K123" s="2" t="s">
        <v>48</v>
      </c>
      <c r="L123" s="2">
        <v>1</v>
      </c>
      <c r="M123" s="2" t="s">
        <v>45</v>
      </c>
      <c r="N123" s="2" t="s">
        <v>287</v>
      </c>
      <c r="O123" s="2">
        <v>0</v>
      </c>
      <c r="P123" s="2" t="s">
        <v>463</v>
      </c>
      <c r="Q123" s="2">
        <v>0</v>
      </c>
      <c r="R123" s="2">
        <v>1</v>
      </c>
      <c r="S123" s="2">
        <v>0</v>
      </c>
      <c r="T123" s="2">
        <v>1</v>
      </c>
      <c r="U123" s="2">
        <v>1</v>
      </c>
      <c r="V123" s="2" t="s">
        <v>289</v>
      </c>
      <c r="W123" s="2" t="s">
        <v>290</v>
      </c>
      <c r="X123" s="2" t="s">
        <v>83</v>
      </c>
      <c r="Y123" s="2">
        <v>1</v>
      </c>
      <c r="Z123" s="2">
        <v>0</v>
      </c>
      <c r="AA123" s="2">
        <v>0</v>
      </c>
      <c r="AB123" s="2">
        <v>0</v>
      </c>
      <c r="AC123" s="2">
        <v>0</v>
      </c>
      <c r="AD123" s="2">
        <v>1</v>
      </c>
      <c r="AE123" s="2">
        <v>0</v>
      </c>
      <c r="AF123" s="2">
        <v>0</v>
      </c>
      <c r="AG123" s="2">
        <v>1</v>
      </c>
      <c r="AH123" s="2">
        <v>0</v>
      </c>
      <c r="AI123" s="2">
        <v>0</v>
      </c>
      <c r="AJ123" s="2">
        <v>0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1</v>
      </c>
      <c r="AQ123" s="2">
        <v>0</v>
      </c>
      <c r="AR123" s="2"/>
      <c r="AS123" s="2"/>
      <c r="AT123" s="2"/>
      <c r="AU123" s="2"/>
      <c r="AV123" s="2"/>
      <c r="AW123" s="2"/>
      <c r="AX123" s="2">
        <v>1</v>
      </c>
      <c r="AY123" s="2">
        <v>0</v>
      </c>
      <c r="AZ123" s="2">
        <v>0</v>
      </c>
      <c r="BA123" s="2">
        <v>1</v>
      </c>
      <c r="BB123" s="2">
        <v>0</v>
      </c>
      <c r="BC123" s="2">
        <v>1</v>
      </c>
      <c r="BD123" s="2">
        <v>0</v>
      </c>
      <c r="BE123" s="2">
        <v>0</v>
      </c>
      <c r="BF123" s="2">
        <v>0</v>
      </c>
      <c r="BG123" s="2">
        <v>0</v>
      </c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>
        <v>1</v>
      </c>
      <c r="BV123" s="2">
        <v>1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1</v>
      </c>
      <c r="CC123" s="2">
        <v>0</v>
      </c>
      <c r="CD123" s="2">
        <v>0</v>
      </c>
      <c r="CE123" s="2">
        <v>0</v>
      </c>
      <c r="CF123" s="2">
        <v>0</v>
      </c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>
        <v>5</v>
      </c>
      <c r="CR123" s="2" t="s">
        <v>146</v>
      </c>
      <c r="CS123" s="2">
        <v>4</v>
      </c>
      <c r="CT123" s="2" t="s">
        <v>145</v>
      </c>
      <c r="CU123" s="2">
        <v>5</v>
      </c>
      <c r="CV123" s="2" t="s">
        <v>146</v>
      </c>
      <c r="CW123" s="2">
        <v>4</v>
      </c>
      <c r="CX123" s="2" t="s">
        <v>145</v>
      </c>
    </row>
    <row r="124" ht="46" customHeight="1" spans="1:102">
      <c r="A124" s="2" t="s">
        <v>464</v>
      </c>
      <c r="B124" s="2">
        <v>124</v>
      </c>
      <c r="C124" s="2" t="s">
        <v>286</v>
      </c>
      <c r="D124" s="2">
        <v>1</v>
      </c>
      <c r="E124" s="2">
        <v>1</v>
      </c>
      <c r="F124" s="2">
        <v>425</v>
      </c>
      <c r="G124" s="2" t="s">
        <v>7</v>
      </c>
      <c r="H124" s="2" t="s">
        <v>24</v>
      </c>
      <c r="I124" s="2" t="s">
        <v>28</v>
      </c>
      <c r="J124" s="2" t="s">
        <v>35</v>
      </c>
      <c r="K124" s="2" t="s">
        <v>44</v>
      </c>
      <c r="L124" s="2">
        <v>1</v>
      </c>
      <c r="M124" s="2" t="s">
        <v>43</v>
      </c>
      <c r="N124" s="2" t="s">
        <v>287</v>
      </c>
      <c r="O124" s="2">
        <v>0</v>
      </c>
      <c r="P124" s="2" t="s">
        <v>288</v>
      </c>
      <c r="Q124" s="2">
        <v>0</v>
      </c>
      <c r="R124" s="2">
        <v>0</v>
      </c>
      <c r="S124" s="2">
        <v>0</v>
      </c>
      <c r="T124" s="2">
        <v>1</v>
      </c>
      <c r="U124" s="2">
        <v>1</v>
      </c>
      <c r="V124" s="2" t="s">
        <v>293</v>
      </c>
      <c r="W124" s="2" t="s">
        <v>290</v>
      </c>
      <c r="X124" s="2" t="s">
        <v>84</v>
      </c>
      <c r="Y124" s="2">
        <v>1</v>
      </c>
      <c r="Z124" s="2">
        <v>1</v>
      </c>
      <c r="AA124" s="2">
        <v>0</v>
      </c>
      <c r="AB124" s="2">
        <v>0</v>
      </c>
      <c r="AC124" s="2">
        <v>0</v>
      </c>
      <c r="AD124" s="2">
        <v>1</v>
      </c>
      <c r="AE124" s="2">
        <v>0</v>
      </c>
      <c r="AF124" s="2">
        <v>0</v>
      </c>
      <c r="AG124" s="2">
        <v>1</v>
      </c>
      <c r="AH124" s="2">
        <v>1</v>
      </c>
      <c r="AI124" s="2">
        <v>0</v>
      </c>
      <c r="AJ124" s="2">
        <v>0</v>
      </c>
      <c r="AK124" s="2">
        <v>1</v>
      </c>
      <c r="AL124" s="2">
        <v>0</v>
      </c>
      <c r="AM124" s="2">
        <v>0</v>
      </c>
      <c r="AN124" s="2">
        <v>0</v>
      </c>
      <c r="AO124" s="2">
        <v>0</v>
      </c>
      <c r="AP124" s="2">
        <v>1</v>
      </c>
      <c r="AQ124" s="2">
        <v>1</v>
      </c>
      <c r="AR124" s="2">
        <v>0</v>
      </c>
      <c r="AS124" s="2">
        <v>0</v>
      </c>
      <c r="AT124" s="2">
        <v>1</v>
      </c>
      <c r="AU124" s="2">
        <v>1</v>
      </c>
      <c r="AV124" s="2">
        <v>0</v>
      </c>
      <c r="AW124" s="2">
        <v>0</v>
      </c>
      <c r="AX124" s="2">
        <v>1</v>
      </c>
      <c r="AY124" s="2">
        <v>1</v>
      </c>
      <c r="AZ124" s="2">
        <v>1</v>
      </c>
      <c r="BA124" s="2">
        <v>0</v>
      </c>
      <c r="BB124" s="2">
        <v>0</v>
      </c>
      <c r="BC124" s="2">
        <v>0</v>
      </c>
      <c r="BD124" s="2">
        <v>1</v>
      </c>
      <c r="BE124" s="2">
        <v>0</v>
      </c>
      <c r="BF124" s="2">
        <v>1</v>
      </c>
      <c r="BG124" s="2">
        <v>0</v>
      </c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>
        <v>1</v>
      </c>
      <c r="BV124" s="2">
        <v>1</v>
      </c>
      <c r="BW124" s="2">
        <v>1</v>
      </c>
      <c r="BX124" s="2">
        <v>0</v>
      </c>
      <c r="BY124" s="2">
        <v>0</v>
      </c>
      <c r="BZ124" s="2">
        <v>0</v>
      </c>
      <c r="CA124" s="2">
        <v>1</v>
      </c>
      <c r="CB124" s="2">
        <v>0</v>
      </c>
      <c r="CC124" s="2">
        <v>0</v>
      </c>
      <c r="CD124" s="2">
        <v>1</v>
      </c>
      <c r="CE124" s="2">
        <v>0</v>
      </c>
      <c r="CF124" s="2">
        <v>0</v>
      </c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>
        <v>5</v>
      </c>
      <c r="CR124" s="2" t="s">
        <v>146</v>
      </c>
      <c r="CS124" s="2">
        <v>4</v>
      </c>
      <c r="CT124" s="2" t="s">
        <v>145</v>
      </c>
      <c r="CU124" s="2">
        <v>4</v>
      </c>
      <c r="CV124" s="2" t="s">
        <v>145</v>
      </c>
      <c r="CW124" s="2">
        <v>2</v>
      </c>
      <c r="CX124" s="2" t="s">
        <v>143</v>
      </c>
    </row>
    <row r="125" ht="46" customHeight="1" spans="1:102">
      <c r="A125" s="2" t="s">
        <v>465</v>
      </c>
      <c r="B125" s="2">
        <v>125</v>
      </c>
      <c r="C125" s="2" t="s">
        <v>286</v>
      </c>
      <c r="D125" s="2">
        <v>1</v>
      </c>
      <c r="E125" s="2">
        <v>1</v>
      </c>
      <c r="F125" s="2">
        <v>669</v>
      </c>
      <c r="G125" s="2" t="s">
        <v>9</v>
      </c>
      <c r="H125" s="2" t="s">
        <v>24</v>
      </c>
      <c r="I125" s="2" t="s">
        <v>28</v>
      </c>
      <c r="J125" s="2" t="s">
        <v>35</v>
      </c>
      <c r="K125" s="2" t="s">
        <v>44</v>
      </c>
      <c r="L125" s="2">
        <v>1</v>
      </c>
      <c r="M125" s="2" t="s">
        <v>45</v>
      </c>
      <c r="N125" s="2" t="s">
        <v>287</v>
      </c>
      <c r="O125" s="2">
        <v>0</v>
      </c>
      <c r="P125" s="2" t="s">
        <v>466</v>
      </c>
      <c r="Q125" s="2">
        <v>0</v>
      </c>
      <c r="R125" s="2">
        <v>0</v>
      </c>
      <c r="S125" s="2">
        <v>0</v>
      </c>
      <c r="T125" s="2">
        <v>1</v>
      </c>
      <c r="U125" s="2">
        <v>0</v>
      </c>
      <c r="V125" s="2" t="s">
        <v>289</v>
      </c>
      <c r="W125" s="2" t="s">
        <v>290</v>
      </c>
      <c r="X125" s="2" t="s">
        <v>83</v>
      </c>
      <c r="Y125" s="2">
        <v>1</v>
      </c>
      <c r="Z125" s="2">
        <v>1</v>
      </c>
      <c r="AA125" s="2">
        <v>0</v>
      </c>
      <c r="AB125" s="2">
        <v>0</v>
      </c>
      <c r="AC125" s="2">
        <v>1</v>
      </c>
      <c r="AD125" s="2">
        <v>1</v>
      </c>
      <c r="AE125" s="2">
        <v>0</v>
      </c>
      <c r="AF125" s="2">
        <v>0</v>
      </c>
      <c r="AG125" s="2">
        <v>1</v>
      </c>
      <c r="AH125" s="2">
        <v>1</v>
      </c>
      <c r="AI125" s="2">
        <v>1</v>
      </c>
      <c r="AJ125" s="2">
        <v>0</v>
      </c>
      <c r="AK125" s="2">
        <v>0</v>
      </c>
      <c r="AL125" s="2">
        <v>0</v>
      </c>
      <c r="AM125" s="2">
        <v>0</v>
      </c>
      <c r="AN125" s="2">
        <v>1</v>
      </c>
      <c r="AO125" s="2">
        <v>0</v>
      </c>
      <c r="AP125" s="2">
        <v>1</v>
      </c>
      <c r="AQ125" s="2">
        <v>0</v>
      </c>
      <c r="AR125" s="2"/>
      <c r="AS125" s="2"/>
      <c r="AT125" s="2"/>
      <c r="AU125" s="2"/>
      <c r="AV125" s="2"/>
      <c r="AW125" s="2"/>
      <c r="AX125" s="2">
        <v>1</v>
      </c>
      <c r="AY125" s="2">
        <v>1</v>
      </c>
      <c r="AZ125" s="2">
        <v>0</v>
      </c>
      <c r="BA125" s="2">
        <v>0</v>
      </c>
      <c r="BB125" s="2">
        <v>0</v>
      </c>
      <c r="BC125" s="2">
        <v>0</v>
      </c>
      <c r="BD125" s="2">
        <v>1</v>
      </c>
      <c r="BE125" s="2">
        <v>0</v>
      </c>
      <c r="BF125" s="2">
        <v>1</v>
      </c>
      <c r="BG125" s="2">
        <v>1</v>
      </c>
      <c r="BH125" s="2">
        <v>1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1</v>
      </c>
      <c r="BP125" s="2">
        <v>0</v>
      </c>
      <c r="BQ125" s="2">
        <v>1</v>
      </c>
      <c r="BR125" s="2">
        <v>0</v>
      </c>
      <c r="BS125" s="2">
        <v>1</v>
      </c>
      <c r="BT125" s="2">
        <v>0</v>
      </c>
      <c r="BU125" s="2">
        <v>1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1</v>
      </c>
      <c r="CB125" s="2">
        <v>1</v>
      </c>
      <c r="CC125" s="2">
        <v>0</v>
      </c>
      <c r="CD125" s="2">
        <v>0</v>
      </c>
      <c r="CE125" s="2">
        <v>0</v>
      </c>
      <c r="CF125" s="2">
        <v>0</v>
      </c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>
        <v>3</v>
      </c>
      <c r="CR125" s="2" t="s">
        <v>47</v>
      </c>
      <c r="CS125" s="2"/>
      <c r="CT125" s="2" t="s">
        <v>467</v>
      </c>
      <c r="CU125" s="2">
        <v>5</v>
      </c>
      <c r="CV125" s="2" t="s">
        <v>146</v>
      </c>
      <c r="CW125" s="2">
        <v>3</v>
      </c>
      <c r="CX125" s="2" t="s">
        <v>47</v>
      </c>
    </row>
    <row r="126" ht="46" customHeight="1" spans="1:102">
      <c r="A126" s="2" t="s">
        <v>468</v>
      </c>
      <c r="B126" s="2">
        <v>126</v>
      </c>
      <c r="C126" s="2" t="s">
        <v>286</v>
      </c>
      <c r="D126" s="2">
        <v>1</v>
      </c>
      <c r="E126" s="2">
        <v>1</v>
      </c>
      <c r="F126" s="2">
        <v>343</v>
      </c>
      <c r="G126" s="2" t="s">
        <v>9</v>
      </c>
      <c r="H126" s="2" t="s">
        <v>23</v>
      </c>
      <c r="I126" s="2" t="s">
        <v>28</v>
      </c>
      <c r="J126" s="2" t="s">
        <v>34</v>
      </c>
      <c r="K126" s="2" t="s">
        <v>42</v>
      </c>
      <c r="L126" s="2">
        <v>1</v>
      </c>
      <c r="M126" s="2" t="s">
        <v>43</v>
      </c>
      <c r="N126" s="2" t="s">
        <v>287</v>
      </c>
      <c r="O126" s="2">
        <v>0</v>
      </c>
      <c r="P126" s="2" t="s">
        <v>288</v>
      </c>
      <c r="Q126" s="2">
        <v>0</v>
      </c>
      <c r="R126" s="2">
        <v>0</v>
      </c>
      <c r="S126" s="2">
        <v>0</v>
      </c>
      <c r="T126" s="2">
        <v>1</v>
      </c>
      <c r="U126" s="2">
        <v>1</v>
      </c>
      <c r="V126" s="2" t="s">
        <v>293</v>
      </c>
      <c r="W126" s="2" t="s">
        <v>319</v>
      </c>
      <c r="X126" s="2" t="s">
        <v>84</v>
      </c>
      <c r="Y126" s="2">
        <v>1</v>
      </c>
      <c r="Z126" s="2">
        <v>0</v>
      </c>
      <c r="AA126" s="2">
        <v>0</v>
      </c>
      <c r="AB126" s="2">
        <v>1</v>
      </c>
      <c r="AC126" s="2">
        <v>0</v>
      </c>
      <c r="AD126" s="2">
        <v>1</v>
      </c>
      <c r="AE126" s="2">
        <v>0</v>
      </c>
      <c r="AF126" s="2">
        <v>0</v>
      </c>
      <c r="AG126" s="2">
        <v>1</v>
      </c>
      <c r="AH126" s="2">
        <v>1</v>
      </c>
      <c r="AI126" s="2">
        <v>1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1</v>
      </c>
      <c r="AR126" s="2">
        <v>0</v>
      </c>
      <c r="AS126" s="2">
        <v>0</v>
      </c>
      <c r="AT126" s="2">
        <v>1</v>
      </c>
      <c r="AU126" s="2">
        <v>1</v>
      </c>
      <c r="AV126" s="2">
        <v>0</v>
      </c>
      <c r="AW126" s="2">
        <v>0</v>
      </c>
      <c r="AX126" s="2">
        <v>1</v>
      </c>
      <c r="AY126" s="2">
        <v>0</v>
      </c>
      <c r="AZ126" s="2">
        <v>1</v>
      </c>
      <c r="BA126" s="2">
        <v>0</v>
      </c>
      <c r="BB126" s="2">
        <v>0</v>
      </c>
      <c r="BC126" s="2">
        <v>1</v>
      </c>
      <c r="BD126" s="2">
        <v>0</v>
      </c>
      <c r="BE126" s="2">
        <v>0</v>
      </c>
      <c r="BF126" s="2">
        <v>1</v>
      </c>
      <c r="BG126" s="2">
        <v>0</v>
      </c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>
        <v>1</v>
      </c>
      <c r="BV126" s="2">
        <v>1</v>
      </c>
      <c r="BW126" s="2">
        <v>0</v>
      </c>
      <c r="BX126" s="2">
        <v>1</v>
      </c>
      <c r="BY126" s="2">
        <v>0</v>
      </c>
      <c r="BZ126" s="2">
        <v>0</v>
      </c>
      <c r="CA126" s="2">
        <v>0</v>
      </c>
      <c r="CB126" s="2">
        <v>1</v>
      </c>
      <c r="CC126" s="2">
        <v>0</v>
      </c>
      <c r="CD126" s="2">
        <v>0</v>
      </c>
      <c r="CE126" s="2">
        <v>0</v>
      </c>
      <c r="CF126" s="2">
        <v>0</v>
      </c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>
        <v>4</v>
      </c>
      <c r="CR126" s="2" t="s">
        <v>145</v>
      </c>
      <c r="CS126" s="2">
        <v>3</v>
      </c>
      <c r="CT126" s="2" t="s">
        <v>47</v>
      </c>
      <c r="CU126" s="2">
        <v>4</v>
      </c>
      <c r="CV126" s="2" t="s">
        <v>145</v>
      </c>
      <c r="CW126" s="2"/>
      <c r="CX126" s="2"/>
    </row>
    <row r="127" ht="46" customHeight="1" spans="1:102">
      <c r="A127" s="2" t="s">
        <v>469</v>
      </c>
      <c r="B127" s="2">
        <v>127</v>
      </c>
      <c r="C127" s="2" t="s">
        <v>286</v>
      </c>
      <c r="D127" s="2">
        <v>1</v>
      </c>
      <c r="E127" s="2">
        <v>1</v>
      </c>
      <c r="F127" s="2">
        <v>587</v>
      </c>
      <c r="G127" s="2" t="s">
        <v>11</v>
      </c>
      <c r="H127" s="2" t="s">
        <v>24</v>
      </c>
      <c r="I127" s="2" t="s">
        <v>28</v>
      </c>
      <c r="J127" s="2" t="s">
        <v>34</v>
      </c>
      <c r="K127" s="2" t="s">
        <v>48</v>
      </c>
      <c r="L127" s="2">
        <v>1</v>
      </c>
      <c r="M127" s="2" t="s">
        <v>43</v>
      </c>
      <c r="N127" s="2" t="s">
        <v>287</v>
      </c>
      <c r="O127" s="2">
        <v>0</v>
      </c>
      <c r="P127" s="2" t="s">
        <v>463</v>
      </c>
      <c r="Q127" s="2">
        <v>0</v>
      </c>
      <c r="R127" s="2">
        <v>1</v>
      </c>
      <c r="S127" s="2">
        <v>0</v>
      </c>
      <c r="T127" s="2">
        <v>1</v>
      </c>
      <c r="U127" s="2">
        <v>1</v>
      </c>
      <c r="V127" s="2" t="s">
        <v>289</v>
      </c>
      <c r="W127" s="2" t="s">
        <v>319</v>
      </c>
      <c r="X127" s="2" t="s">
        <v>83</v>
      </c>
      <c r="Y127" s="2">
        <v>1</v>
      </c>
      <c r="Z127" s="2">
        <v>0</v>
      </c>
      <c r="AA127" s="2">
        <v>0</v>
      </c>
      <c r="AB127" s="2">
        <v>1</v>
      </c>
      <c r="AC127" s="2">
        <v>0</v>
      </c>
      <c r="AD127" s="2">
        <v>1</v>
      </c>
      <c r="AE127" s="2">
        <v>0</v>
      </c>
      <c r="AF127" s="2">
        <v>0</v>
      </c>
      <c r="AG127" s="2">
        <v>1</v>
      </c>
      <c r="AH127" s="2">
        <v>0</v>
      </c>
      <c r="AI127" s="2">
        <v>0</v>
      </c>
      <c r="AJ127" s="2">
        <v>1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1</v>
      </c>
      <c r="AQ127" s="2">
        <v>1</v>
      </c>
      <c r="AR127" s="2">
        <v>0</v>
      </c>
      <c r="AS127" s="2">
        <v>0</v>
      </c>
      <c r="AT127" s="2">
        <v>0</v>
      </c>
      <c r="AU127" s="2">
        <v>1</v>
      </c>
      <c r="AV127" s="2">
        <v>0</v>
      </c>
      <c r="AW127" s="2">
        <v>1</v>
      </c>
      <c r="AX127" s="2">
        <v>1</v>
      </c>
      <c r="AY127" s="2">
        <v>1</v>
      </c>
      <c r="AZ127" s="2">
        <v>0</v>
      </c>
      <c r="BA127" s="2">
        <v>0</v>
      </c>
      <c r="BB127" s="2">
        <v>0</v>
      </c>
      <c r="BC127" s="2">
        <v>1</v>
      </c>
      <c r="BD127" s="2">
        <v>0</v>
      </c>
      <c r="BE127" s="2">
        <v>0</v>
      </c>
      <c r="BF127" s="2">
        <v>0</v>
      </c>
      <c r="BG127" s="2">
        <v>0</v>
      </c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>
        <v>1</v>
      </c>
      <c r="BV127" s="2">
        <v>0</v>
      </c>
      <c r="BW127" s="2">
        <v>1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</v>
      </c>
      <c r="CE127" s="2">
        <v>0</v>
      </c>
      <c r="CF127" s="2">
        <v>0</v>
      </c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>
        <v>4</v>
      </c>
      <c r="CR127" s="2" t="s">
        <v>145</v>
      </c>
      <c r="CS127" s="2">
        <v>5</v>
      </c>
      <c r="CT127" s="2" t="s">
        <v>146</v>
      </c>
      <c r="CU127" s="2">
        <v>5</v>
      </c>
      <c r="CV127" s="2" t="s">
        <v>146</v>
      </c>
      <c r="CW127" s="2">
        <v>4</v>
      </c>
      <c r="CX127" s="2" t="s">
        <v>145</v>
      </c>
    </row>
    <row r="128" ht="46" customHeight="1" spans="1:102">
      <c r="A128" s="2" t="s">
        <v>470</v>
      </c>
      <c r="B128" s="2">
        <v>128</v>
      </c>
      <c r="C128" s="2" t="s">
        <v>286</v>
      </c>
      <c r="D128" s="2">
        <v>1</v>
      </c>
      <c r="E128" s="2">
        <v>1</v>
      </c>
      <c r="F128" s="2">
        <v>383</v>
      </c>
      <c r="G128" s="2" t="s">
        <v>9</v>
      </c>
      <c r="H128" s="2" t="s">
        <v>23</v>
      </c>
      <c r="I128" s="2" t="s">
        <v>28</v>
      </c>
      <c r="J128" s="2" t="s">
        <v>37</v>
      </c>
      <c r="K128" s="2" t="s">
        <v>48</v>
      </c>
      <c r="L128" s="2">
        <v>1</v>
      </c>
      <c r="M128" s="2" t="s">
        <v>43</v>
      </c>
      <c r="N128" s="2" t="s">
        <v>287</v>
      </c>
      <c r="O128" s="2">
        <v>0</v>
      </c>
      <c r="P128" s="2" t="s">
        <v>301</v>
      </c>
      <c r="Q128" s="2">
        <v>0</v>
      </c>
      <c r="R128" s="2">
        <v>0</v>
      </c>
      <c r="S128" s="2">
        <v>0</v>
      </c>
      <c r="T128" s="2">
        <v>1</v>
      </c>
      <c r="U128" s="2">
        <v>0</v>
      </c>
      <c r="V128" s="2" t="s">
        <v>289</v>
      </c>
      <c r="W128" s="2" t="s">
        <v>294</v>
      </c>
      <c r="X128" s="2" t="s">
        <v>83</v>
      </c>
      <c r="Y128" s="2">
        <v>1</v>
      </c>
      <c r="Z128" s="2">
        <v>0</v>
      </c>
      <c r="AA128" s="2">
        <v>0</v>
      </c>
      <c r="AB128" s="2">
        <v>1</v>
      </c>
      <c r="AC128" s="2">
        <v>1</v>
      </c>
      <c r="AD128" s="2">
        <v>1</v>
      </c>
      <c r="AE128" s="2">
        <v>0</v>
      </c>
      <c r="AF128" s="2">
        <v>0</v>
      </c>
      <c r="AG128" s="2">
        <v>1</v>
      </c>
      <c r="AH128" s="2">
        <v>0</v>
      </c>
      <c r="AI128" s="2">
        <v>1</v>
      </c>
      <c r="AJ128" s="2">
        <v>1</v>
      </c>
      <c r="AK128" s="2">
        <v>1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1</v>
      </c>
      <c r="AR128" s="2">
        <v>0</v>
      </c>
      <c r="AS128" s="2">
        <v>0</v>
      </c>
      <c r="AT128" s="2">
        <v>1</v>
      </c>
      <c r="AU128" s="2">
        <v>0</v>
      </c>
      <c r="AV128" s="2">
        <v>0</v>
      </c>
      <c r="AW128" s="2">
        <v>0</v>
      </c>
      <c r="AX128" s="2">
        <v>1</v>
      </c>
      <c r="AY128" s="2">
        <v>1</v>
      </c>
      <c r="AZ128" s="2">
        <v>0</v>
      </c>
      <c r="BA128" s="2">
        <v>1</v>
      </c>
      <c r="BB128" s="2">
        <v>0</v>
      </c>
      <c r="BC128" s="2">
        <v>1</v>
      </c>
      <c r="BD128" s="2">
        <v>0</v>
      </c>
      <c r="BE128" s="2">
        <v>0</v>
      </c>
      <c r="BF128" s="2">
        <v>0</v>
      </c>
      <c r="BG128" s="2">
        <v>1</v>
      </c>
      <c r="BH128" s="2">
        <v>1</v>
      </c>
      <c r="BI128" s="2">
        <v>0</v>
      </c>
      <c r="BJ128" s="2">
        <v>0</v>
      </c>
      <c r="BK128" s="2">
        <v>1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1</v>
      </c>
      <c r="BR128" s="2">
        <v>0</v>
      </c>
      <c r="BS128" s="2">
        <v>0</v>
      </c>
      <c r="BT128" s="2">
        <v>0</v>
      </c>
      <c r="BU128" s="2">
        <v>1</v>
      </c>
      <c r="BV128" s="2">
        <v>1</v>
      </c>
      <c r="BW128" s="2">
        <v>0</v>
      </c>
      <c r="BX128" s="2">
        <v>1</v>
      </c>
      <c r="BY128" s="2">
        <v>0</v>
      </c>
      <c r="BZ128" s="2">
        <v>0</v>
      </c>
      <c r="CA128" s="2">
        <v>0</v>
      </c>
      <c r="CB128" s="2">
        <v>1</v>
      </c>
      <c r="CC128" s="2">
        <v>0</v>
      </c>
      <c r="CD128" s="2">
        <v>1</v>
      </c>
      <c r="CE128" s="2">
        <v>0</v>
      </c>
      <c r="CF128" s="2">
        <v>0</v>
      </c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>
        <v>4</v>
      </c>
      <c r="CR128" s="2" t="s">
        <v>145</v>
      </c>
      <c r="CS128" s="2">
        <v>5</v>
      </c>
      <c r="CT128" s="2" t="s">
        <v>146</v>
      </c>
      <c r="CU128" s="2">
        <v>3</v>
      </c>
      <c r="CV128" s="2" t="s">
        <v>471</v>
      </c>
      <c r="CW128" s="2">
        <v>4</v>
      </c>
      <c r="CX128" s="2" t="s">
        <v>145</v>
      </c>
    </row>
    <row r="129" ht="46" customHeight="1" spans="1:102">
      <c r="A129" s="2" t="s">
        <v>472</v>
      </c>
      <c r="B129" s="2">
        <v>129</v>
      </c>
      <c r="C129" s="2" t="s">
        <v>286</v>
      </c>
      <c r="D129" s="2">
        <v>1</v>
      </c>
      <c r="E129" s="2">
        <v>1</v>
      </c>
      <c r="F129" s="2">
        <v>327</v>
      </c>
      <c r="G129" s="2" t="s">
        <v>9</v>
      </c>
      <c r="H129" s="2" t="s">
        <v>24</v>
      </c>
      <c r="I129" s="2" t="s">
        <v>29</v>
      </c>
      <c r="J129" s="2" t="s">
        <v>34</v>
      </c>
      <c r="K129" s="2" t="s">
        <v>44</v>
      </c>
      <c r="L129" s="2">
        <v>1</v>
      </c>
      <c r="M129" s="2" t="s">
        <v>43</v>
      </c>
      <c r="N129" s="2" t="s">
        <v>287</v>
      </c>
      <c r="O129" s="2">
        <v>0</v>
      </c>
      <c r="P129" s="2" t="s">
        <v>288</v>
      </c>
      <c r="Q129" s="2">
        <v>0</v>
      </c>
      <c r="R129" s="2">
        <v>0</v>
      </c>
      <c r="S129" s="2">
        <v>0</v>
      </c>
      <c r="T129" s="2">
        <v>1</v>
      </c>
      <c r="U129" s="2">
        <v>1</v>
      </c>
      <c r="V129" s="2" t="s">
        <v>289</v>
      </c>
      <c r="W129" s="2" t="s">
        <v>290</v>
      </c>
      <c r="X129" s="2" t="s">
        <v>83</v>
      </c>
      <c r="Y129" s="2">
        <v>1</v>
      </c>
      <c r="Z129" s="2">
        <v>0</v>
      </c>
      <c r="AA129" s="2">
        <v>0</v>
      </c>
      <c r="AB129" s="2">
        <v>1</v>
      </c>
      <c r="AC129" s="2">
        <v>0</v>
      </c>
      <c r="AD129" s="2">
        <v>0</v>
      </c>
      <c r="AE129" s="2">
        <v>0</v>
      </c>
      <c r="AF129" s="2">
        <v>0</v>
      </c>
      <c r="AG129" s="2">
        <v>1</v>
      </c>
      <c r="AH129" s="2">
        <v>0</v>
      </c>
      <c r="AI129" s="2">
        <v>0</v>
      </c>
      <c r="AJ129" s="2">
        <v>1</v>
      </c>
      <c r="AK129" s="2">
        <v>1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1</v>
      </c>
      <c r="AR129" s="2">
        <v>0</v>
      </c>
      <c r="AS129" s="2">
        <v>0</v>
      </c>
      <c r="AT129" s="2">
        <v>0</v>
      </c>
      <c r="AU129" s="2">
        <v>1</v>
      </c>
      <c r="AV129" s="2">
        <v>0</v>
      </c>
      <c r="AW129" s="2">
        <v>1</v>
      </c>
      <c r="AX129" s="2">
        <v>1</v>
      </c>
      <c r="AY129" s="2">
        <v>0</v>
      </c>
      <c r="AZ129" s="2">
        <v>0</v>
      </c>
      <c r="BA129" s="2">
        <v>0</v>
      </c>
      <c r="BB129" s="2">
        <v>0</v>
      </c>
      <c r="BC129" s="2">
        <v>1</v>
      </c>
      <c r="BD129" s="2">
        <v>1</v>
      </c>
      <c r="BE129" s="2">
        <v>0</v>
      </c>
      <c r="BF129" s="2">
        <v>0</v>
      </c>
      <c r="BG129" s="2">
        <v>0</v>
      </c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>
        <v>1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1</v>
      </c>
      <c r="CB129" s="2">
        <v>0</v>
      </c>
      <c r="CC129" s="2">
        <v>0</v>
      </c>
      <c r="CD129" s="2">
        <v>1</v>
      </c>
      <c r="CE129" s="2">
        <v>0</v>
      </c>
      <c r="CF129" s="2">
        <v>0</v>
      </c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>
        <v>4</v>
      </c>
      <c r="CR129" s="2" t="s">
        <v>145</v>
      </c>
      <c r="CS129" s="2">
        <v>4</v>
      </c>
      <c r="CT129" s="2" t="s">
        <v>145</v>
      </c>
      <c r="CU129" s="2">
        <v>3</v>
      </c>
      <c r="CV129" s="2" t="s">
        <v>47</v>
      </c>
      <c r="CW129" s="2">
        <v>2</v>
      </c>
      <c r="CX129" s="2" t="s">
        <v>143</v>
      </c>
    </row>
    <row r="130" ht="46" customHeight="1" spans="1:102">
      <c r="A130" s="2" t="s">
        <v>473</v>
      </c>
      <c r="B130" s="2">
        <v>130</v>
      </c>
      <c r="C130" s="2" t="s">
        <v>286</v>
      </c>
      <c r="D130" s="2">
        <v>1</v>
      </c>
      <c r="E130" s="2">
        <v>1</v>
      </c>
      <c r="F130" s="2">
        <v>566</v>
      </c>
      <c r="G130" s="2" t="s">
        <v>7</v>
      </c>
      <c r="H130" s="2" t="s">
        <v>23</v>
      </c>
      <c r="I130" s="2" t="s">
        <v>29</v>
      </c>
      <c r="J130" s="2" t="s">
        <v>37</v>
      </c>
      <c r="K130" s="2" t="s">
        <v>42</v>
      </c>
      <c r="L130" s="2">
        <v>1</v>
      </c>
      <c r="M130" s="2" t="s">
        <v>43</v>
      </c>
      <c r="N130" s="2" t="s">
        <v>287</v>
      </c>
      <c r="O130" s="2">
        <v>0</v>
      </c>
      <c r="P130" s="2" t="s">
        <v>301</v>
      </c>
      <c r="Q130" s="2">
        <v>0</v>
      </c>
      <c r="R130" s="2">
        <v>0</v>
      </c>
      <c r="S130" s="2">
        <v>0</v>
      </c>
      <c r="T130" s="2">
        <v>1</v>
      </c>
      <c r="U130" s="2">
        <v>0</v>
      </c>
      <c r="V130" s="2" t="s">
        <v>289</v>
      </c>
      <c r="W130" s="2" t="s">
        <v>319</v>
      </c>
      <c r="X130" s="2" t="s">
        <v>83</v>
      </c>
      <c r="Y130" s="2">
        <v>1</v>
      </c>
      <c r="Z130" s="2">
        <v>1</v>
      </c>
      <c r="AA130" s="2">
        <v>0</v>
      </c>
      <c r="AB130" s="2">
        <v>0</v>
      </c>
      <c r="AC130" s="2">
        <v>1</v>
      </c>
      <c r="AD130" s="2">
        <v>1</v>
      </c>
      <c r="AE130" s="2">
        <v>0</v>
      </c>
      <c r="AF130" s="2">
        <v>0</v>
      </c>
      <c r="AG130" s="2">
        <v>1</v>
      </c>
      <c r="AH130" s="2">
        <v>0</v>
      </c>
      <c r="AI130" s="2">
        <v>0</v>
      </c>
      <c r="AJ130" s="2">
        <v>0</v>
      </c>
      <c r="AK130" s="2">
        <v>1</v>
      </c>
      <c r="AL130" s="2">
        <v>0</v>
      </c>
      <c r="AM130" s="2">
        <v>1</v>
      </c>
      <c r="AN130" s="2">
        <v>1</v>
      </c>
      <c r="AO130" s="2">
        <v>0</v>
      </c>
      <c r="AP130" s="2">
        <v>1</v>
      </c>
      <c r="AQ130" s="2">
        <v>1</v>
      </c>
      <c r="AR130" s="2">
        <v>0</v>
      </c>
      <c r="AS130" s="2">
        <v>0</v>
      </c>
      <c r="AT130" s="2">
        <v>1</v>
      </c>
      <c r="AU130" s="2">
        <v>1</v>
      </c>
      <c r="AV130" s="2">
        <v>0</v>
      </c>
      <c r="AW130" s="2">
        <v>0</v>
      </c>
      <c r="AX130" s="2">
        <v>1</v>
      </c>
      <c r="AY130" s="2">
        <v>0</v>
      </c>
      <c r="AZ130" s="2">
        <v>0</v>
      </c>
      <c r="BA130" s="2">
        <v>0</v>
      </c>
      <c r="BB130" s="2">
        <v>0</v>
      </c>
      <c r="BC130" s="2">
        <v>1</v>
      </c>
      <c r="BD130" s="2">
        <v>1</v>
      </c>
      <c r="BE130" s="2">
        <v>0</v>
      </c>
      <c r="BF130" s="2">
        <v>1</v>
      </c>
      <c r="BG130" s="2">
        <v>1</v>
      </c>
      <c r="BH130" s="2">
        <v>0</v>
      </c>
      <c r="BI130" s="2">
        <v>0</v>
      </c>
      <c r="BJ130" s="2">
        <v>0</v>
      </c>
      <c r="BK130" s="2">
        <v>1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1</v>
      </c>
      <c r="BT130" s="2">
        <v>0</v>
      </c>
      <c r="BU130" s="2">
        <v>1</v>
      </c>
      <c r="BV130" s="2">
        <v>1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1</v>
      </c>
      <c r="CC130" s="2">
        <v>1</v>
      </c>
      <c r="CD130" s="2">
        <v>0</v>
      </c>
      <c r="CE130" s="2">
        <v>0</v>
      </c>
      <c r="CF130" s="2">
        <v>0</v>
      </c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>
        <v>4</v>
      </c>
      <c r="CR130" s="2" t="s">
        <v>145</v>
      </c>
      <c r="CS130" s="2">
        <v>4</v>
      </c>
      <c r="CT130" s="2" t="s">
        <v>145</v>
      </c>
      <c r="CU130" s="2">
        <v>97</v>
      </c>
      <c r="CV130" s="2" t="s">
        <v>147</v>
      </c>
      <c r="CW130" s="2">
        <v>2</v>
      </c>
      <c r="CX130" s="2" t="s">
        <v>143</v>
      </c>
    </row>
    <row r="131" ht="46" customHeight="1" spans="1:102">
      <c r="A131" s="2" t="s">
        <v>474</v>
      </c>
      <c r="B131" s="2">
        <v>131</v>
      </c>
      <c r="C131" s="2" t="s">
        <v>286</v>
      </c>
      <c r="D131" s="2">
        <v>1</v>
      </c>
      <c r="E131" s="2">
        <v>1</v>
      </c>
      <c r="F131" s="2">
        <v>322</v>
      </c>
      <c r="G131" s="2" t="s">
        <v>7</v>
      </c>
      <c r="H131" s="2" t="s">
        <v>24</v>
      </c>
      <c r="I131" s="2" t="s">
        <v>27</v>
      </c>
      <c r="J131" s="2" t="s">
        <v>35</v>
      </c>
      <c r="K131" s="2" t="s">
        <v>44</v>
      </c>
      <c r="L131" s="2">
        <v>1</v>
      </c>
      <c r="M131" s="2" t="s">
        <v>45</v>
      </c>
      <c r="N131" s="2" t="s">
        <v>287</v>
      </c>
      <c r="O131" s="2">
        <v>0</v>
      </c>
      <c r="P131" s="2" t="s">
        <v>301</v>
      </c>
      <c r="Q131" s="2">
        <v>0</v>
      </c>
      <c r="R131" s="2">
        <v>0</v>
      </c>
      <c r="S131" s="2">
        <v>0</v>
      </c>
      <c r="T131" s="2">
        <v>1</v>
      </c>
      <c r="U131" s="2">
        <v>0</v>
      </c>
      <c r="V131" s="2" t="s">
        <v>289</v>
      </c>
      <c r="W131" s="2" t="s">
        <v>290</v>
      </c>
      <c r="X131" s="2" t="s">
        <v>83</v>
      </c>
      <c r="Y131" s="2">
        <v>1</v>
      </c>
      <c r="Z131" s="2">
        <v>1</v>
      </c>
      <c r="AA131" s="2">
        <v>0</v>
      </c>
      <c r="AB131" s="2">
        <v>1</v>
      </c>
      <c r="AC131" s="2">
        <v>0</v>
      </c>
      <c r="AD131" s="2">
        <v>0</v>
      </c>
      <c r="AE131" s="2">
        <v>0</v>
      </c>
      <c r="AF131" s="2">
        <v>0</v>
      </c>
      <c r="AG131" s="2">
        <v>1</v>
      </c>
      <c r="AH131" s="2">
        <v>1</v>
      </c>
      <c r="AI131" s="2">
        <v>1</v>
      </c>
      <c r="AJ131" s="2">
        <v>0</v>
      </c>
      <c r="AK131" s="2">
        <v>1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/>
      <c r="AS131" s="2"/>
      <c r="AT131" s="2"/>
      <c r="AU131" s="2"/>
      <c r="AV131" s="2"/>
      <c r="AW131" s="2"/>
      <c r="AX131" s="2">
        <v>1</v>
      </c>
      <c r="AY131" s="2">
        <v>1</v>
      </c>
      <c r="AZ131" s="2">
        <v>0</v>
      </c>
      <c r="BA131" s="2">
        <v>0</v>
      </c>
      <c r="BB131" s="2">
        <v>0</v>
      </c>
      <c r="BC131" s="2">
        <v>1</v>
      </c>
      <c r="BD131" s="2">
        <v>0</v>
      </c>
      <c r="BE131" s="2">
        <v>0</v>
      </c>
      <c r="BF131" s="2">
        <v>0</v>
      </c>
      <c r="BG131" s="2">
        <v>1</v>
      </c>
      <c r="BH131" s="2">
        <v>0</v>
      </c>
      <c r="BI131" s="2">
        <v>0</v>
      </c>
      <c r="BJ131" s="2">
        <v>1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1</v>
      </c>
      <c r="BQ131" s="2">
        <v>0</v>
      </c>
      <c r="BR131" s="2">
        <v>0</v>
      </c>
      <c r="BS131" s="2">
        <v>0</v>
      </c>
      <c r="BT131" s="2">
        <v>1</v>
      </c>
      <c r="BU131" s="2">
        <v>1</v>
      </c>
      <c r="BV131" s="2">
        <v>1</v>
      </c>
      <c r="BW131" s="2">
        <v>1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>
        <v>4</v>
      </c>
      <c r="CR131" s="2" t="s">
        <v>145</v>
      </c>
      <c r="CS131" s="2">
        <v>2</v>
      </c>
      <c r="CT131" s="2" t="s">
        <v>143</v>
      </c>
      <c r="CU131" s="2"/>
      <c r="CV131" s="2"/>
      <c r="CW131" s="2"/>
      <c r="CX131" s="2"/>
    </row>
    <row r="132" ht="46" customHeight="1" spans="1:102">
      <c r="A132" s="2" t="s">
        <v>475</v>
      </c>
      <c r="B132" s="2">
        <v>132</v>
      </c>
      <c r="C132" s="2" t="s">
        <v>286</v>
      </c>
      <c r="D132" s="2">
        <v>1</v>
      </c>
      <c r="E132" s="2">
        <v>1</v>
      </c>
      <c r="F132" s="2">
        <v>521</v>
      </c>
      <c r="G132" s="2" t="s">
        <v>7</v>
      </c>
      <c r="H132" s="2" t="s">
        <v>23</v>
      </c>
      <c r="I132" s="2" t="s">
        <v>14</v>
      </c>
      <c r="J132" s="2" t="s">
        <v>35</v>
      </c>
      <c r="K132" s="2" t="s">
        <v>44</v>
      </c>
      <c r="L132" s="2">
        <v>1</v>
      </c>
      <c r="M132" s="2" t="s">
        <v>43</v>
      </c>
      <c r="N132" s="2" t="s">
        <v>287</v>
      </c>
      <c r="O132" s="2">
        <v>0</v>
      </c>
      <c r="P132" s="2" t="s">
        <v>288</v>
      </c>
      <c r="Q132" s="2">
        <v>0</v>
      </c>
      <c r="R132" s="2">
        <v>0</v>
      </c>
      <c r="S132" s="2">
        <v>0</v>
      </c>
      <c r="T132" s="2">
        <v>1</v>
      </c>
      <c r="U132" s="2">
        <v>1</v>
      </c>
      <c r="V132" s="2" t="s">
        <v>293</v>
      </c>
      <c r="W132" s="2" t="s">
        <v>294</v>
      </c>
      <c r="X132" s="2" t="s">
        <v>84</v>
      </c>
      <c r="Y132" s="2">
        <v>1</v>
      </c>
      <c r="Z132" s="2">
        <v>1</v>
      </c>
      <c r="AA132" s="2">
        <v>0</v>
      </c>
      <c r="AB132" s="2">
        <v>0</v>
      </c>
      <c r="AC132" s="2">
        <v>0</v>
      </c>
      <c r="AD132" s="2">
        <v>1</v>
      </c>
      <c r="AE132" s="2">
        <v>0</v>
      </c>
      <c r="AF132" s="2">
        <v>0</v>
      </c>
      <c r="AG132" s="2">
        <v>1</v>
      </c>
      <c r="AH132" s="2">
        <v>1</v>
      </c>
      <c r="AI132" s="2">
        <v>1</v>
      </c>
      <c r="AJ132" s="2">
        <v>0</v>
      </c>
      <c r="AK132" s="2">
        <v>1</v>
      </c>
      <c r="AL132" s="2">
        <v>0</v>
      </c>
      <c r="AM132" s="2">
        <v>0</v>
      </c>
      <c r="AN132" s="2">
        <v>0</v>
      </c>
      <c r="AO132" s="2">
        <v>0</v>
      </c>
      <c r="AP132" s="2">
        <v>1</v>
      </c>
      <c r="AQ132" s="2">
        <v>1</v>
      </c>
      <c r="AR132" s="2">
        <v>0</v>
      </c>
      <c r="AS132" s="2">
        <v>0</v>
      </c>
      <c r="AT132" s="2">
        <v>0</v>
      </c>
      <c r="AU132" s="2">
        <v>1</v>
      </c>
      <c r="AV132" s="2">
        <v>1</v>
      </c>
      <c r="AW132" s="2">
        <v>0</v>
      </c>
      <c r="AX132" s="2">
        <v>1</v>
      </c>
      <c r="AY132" s="2">
        <v>1</v>
      </c>
      <c r="AZ132" s="2">
        <v>1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1</v>
      </c>
      <c r="BG132" s="2">
        <v>0</v>
      </c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>
        <v>1</v>
      </c>
      <c r="BV132" s="2">
        <v>0</v>
      </c>
      <c r="BW132" s="2">
        <v>0</v>
      </c>
      <c r="BX132" s="2">
        <v>1</v>
      </c>
      <c r="BY132" s="2">
        <v>0</v>
      </c>
      <c r="BZ132" s="2">
        <v>0</v>
      </c>
      <c r="CA132" s="2">
        <v>0</v>
      </c>
      <c r="CB132" s="2">
        <v>0</v>
      </c>
      <c r="CC132" s="2">
        <v>1</v>
      </c>
      <c r="CD132" s="2">
        <v>0</v>
      </c>
      <c r="CE132" s="2">
        <v>0</v>
      </c>
      <c r="CF132" s="2">
        <v>0</v>
      </c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>
        <v>4</v>
      </c>
      <c r="CR132" s="2" t="s">
        <v>145</v>
      </c>
      <c r="CS132" s="2"/>
      <c r="CT132" s="2"/>
      <c r="CU132" s="2"/>
      <c r="CV132" s="2"/>
      <c r="CW132" s="2">
        <v>5</v>
      </c>
      <c r="CX132" s="2" t="s">
        <v>146</v>
      </c>
    </row>
    <row r="133" ht="46" customHeight="1" spans="1:102">
      <c r="A133" s="2" t="s">
        <v>476</v>
      </c>
      <c r="B133" s="2">
        <v>133</v>
      </c>
      <c r="C133" s="2" t="s">
        <v>286</v>
      </c>
      <c r="D133" s="2">
        <v>1</v>
      </c>
      <c r="E133" s="2">
        <v>1</v>
      </c>
      <c r="F133" s="2">
        <v>1147</v>
      </c>
      <c r="G133" s="2" t="s">
        <v>9</v>
      </c>
      <c r="H133" s="2" t="s">
        <v>24</v>
      </c>
      <c r="I133" s="2" t="s">
        <v>28</v>
      </c>
      <c r="J133" s="2" t="s">
        <v>36</v>
      </c>
      <c r="K133" s="2" t="s">
        <v>44</v>
      </c>
      <c r="L133" s="2">
        <v>1</v>
      </c>
      <c r="M133" s="2" t="s">
        <v>43</v>
      </c>
      <c r="N133" s="2" t="s">
        <v>287</v>
      </c>
      <c r="O133" s="2">
        <v>0</v>
      </c>
      <c r="P133" s="2" t="s">
        <v>463</v>
      </c>
      <c r="Q133" s="2">
        <v>0</v>
      </c>
      <c r="R133" s="2">
        <v>1</v>
      </c>
      <c r="S133" s="2">
        <v>0</v>
      </c>
      <c r="T133" s="2">
        <v>1</v>
      </c>
      <c r="U133" s="2">
        <v>1</v>
      </c>
      <c r="V133" s="2" t="s">
        <v>289</v>
      </c>
      <c r="W133" s="2" t="s">
        <v>319</v>
      </c>
      <c r="X133" s="2" t="s">
        <v>83</v>
      </c>
      <c r="Y133" s="2">
        <v>1</v>
      </c>
      <c r="Z133" s="2">
        <v>0</v>
      </c>
      <c r="AA133" s="2">
        <v>0</v>
      </c>
      <c r="AB133" s="2">
        <v>0</v>
      </c>
      <c r="AC133" s="2">
        <v>0</v>
      </c>
      <c r="AD133" s="2">
        <v>1</v>
      </c>
      <c r="AE133" s="2">
        <v>1</v>
      </c>
      <c r="AF133" s="2">
        <v>0</v>
      </c>
      <c r="AG133" s="2">
        <v>1</v>
      </c>
      <c r="AH133" s="2">
        <v>0</v>
      </c>
      <c r="AI133" s="2">
        <v>0</v>
      </c>
      <c r="AJ133" s="2">
        <v>0</v>
      </c>
      <c r="AK133" s="2">
        <v>1</v>
      </c>
      <c r="AL133" s="2">
        <v>0</v>
      </c>
      <c r="AM133" s="2">
        <v>1</v>
      </c>
      <c r="AN133" s="2">
        <v>0</v>
      </c>
      <c r="AO133" s="2">
        <v>0</v>
      </c>
      <c r="AP133" s="2">
        <v>0</v>
      </c>
      <c r="AQ133" s="2">
        <v>1</v>
      </c>
      <c r="AR133" s="2">
        <v>0</v>
      </c>
      <c r="AS133" s="2">
        <v>0</v>
      </c>
      <c r="AT133" s="2">
        <v>1</v>
      </c>
      <c r="AU133" s="2">
        <v>1</v>
      </c>
      <c r="AV133" s="2">
        <v>0</v>
      </c>
      <c r="AW133" s="2">
        <v>0</v>
      </c>
      <c r="AX133" s="2">
        <v>1</v>
      </c>
      <c r="AY133" s="2">
        <v>0</v>
      </c>
      <c r="AZ133" s="2">
        <v>1</v>
      </c>
      <c r="BA133" s="2">
        <v>0</v>
      </c>
      <c r="BB133" s="2">
        <v>0</v>
      </c>
      <c r="BC133" s="2">
        <v>1</v>
      </c>
      <c r="BD133" s="2">
        <v>0</v>
      </c>
      <c r="BE133" s="2">
        <v>0</v>
      </c>
      <c r="BF133" s="2">
        <v>0</v>
      </c>
      <c r="BG133" s="2">
        <v>0</v>
      </c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>
        <v>1</v>
      </c>
      <c r="BV133" s="2">
        <v>1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1</v>
      </c>
      <c r="CD133" s="2">
        <v>0</v>
      </c>
      <c r="CE133" s="2">
        <v>0</v>
      </c>
      <c r="CF133" s="2">
        <v>0</v>
      </c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>
        <v>4</v>
      </c>
      <c r="CR133" s="2" t="s">
        <v>145</v>
      </c>
      <c r="CS133" s="2">
        <v>5</v>
      </c>
      <c r="CT133" s="2" t="s">
        <v>146</v>
      </c>
      <c r="CU133" s="2">
        <v>4</v>
      </c>
      <c r="CV133" s="2" t="s">
        <v>145</v>
      </c>
      <c r="CW133" s="2">
        <v>4</v>
      </c>
      <c r="CX133" s="2" t="s">
        <v>145</v>
      </c>
    </row>
    <row r="134" ht="46" customHeight="1" spans="1:102">
      <c r="A134" s="2" t="s">
        <v>477</v>
      </c>
      <c r="B134" s="2">
        <v>134</v>
      </c>
      <c r="C134" s="2" t="s">
        <v>286</v>
      </c>
      <c r="D134" s="2">
        <v>1</v>
      </c>
      <c r="E134" s="2">
        <v>1</v>
      </c>
      <c r="F134" s="2">
        <v>550</v>
      </c>
      <c r="G134" s="2" t="s">
        <v>13</v>
      </c>
      <c r="H134" s="2" t="s">
        <v>24</v>
      </c>
      <c r="I134" s="2" t="s">
        <v>29</v>
      </c>
      <c r="J134" s="2" t="s">
        <v>34</v>
      </c>
      <c r="K134" s="2" t="s">
        <v>42</v>
      </c>
      <c r="L134" s="2">
        <v>1</v>
      </c>
      <c r="M134" s="2" t="s">
        <v>47</v>
      </c>
      <c r="N134" s="2" t="s">
        <v>86</v>
      </c>
      <c r="O134" s="2">
        <v>0</v>
      </c>
      <c r="P134" s="2" t="s">
        <v>301</v>
      </c>
      <c r="Q134" s="2">
        <v>0</v>
      </c>
      <c r="R134" s="2">
        <v>0</v>
      </c>
      <c r="S134" s="2">
        <v>0</v>
      </c>
      <c r="T134" s="2">
        <v>1</v>
      </c>
      <c r="U134" s="2">
        <v>0</v>
      </c>
      <c r="V134" s="2" t="s">
        <v>324</v>
      </c>
      <c r="W134" s="2" t="s">
        <v>325</v>
      </c>
      <c r="X134" s="2" t="s">
        <v>86</v>
      </c>
      <c r="Y134" s="2">
        <v>1</v>
      </c>
      <c r="Z134" s="2">
        <v>1</v>
      </c>
      <c r="AA134" s="2">
        <v>0</v>
      </c>
      <c r="AB134" s="2">
        <v>0</v>
      </c>
      <c r="AC134" s="2">
        <v>0</v>
      </c>
      <c r="AD134" s="2">
        <v>1</v>
      </c>
      <c r="AE134" s="2">
        <v>0</v>
      </c>
      <c r="AF134" s="2">
        <v>0</v>
      </c>
      <c r="AG134" s="2">
        <v>1</v>
      </c>
      <c r="AH134" s="2">
        <v>1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1</v>
      </c>
      <c r="AQ134" s="2">
        <v>0</v>
      </c>
      <c r="AR134" s="2"/>
      <c r="AS134" s="2"/>
      <c r="AT134" s="2"/>
      <c r="AU134" s="2"/>
      <c r="AV134" s="2"/>
      <c r="AW134" s="2"/>
      <c r="AX134" s="2">
        <v>0</v>
      </c>
      <c r="AY134" s="2"/>
      <c r="AZ134" s="2"/>
      <c r="BA134" s="2"/>
      <c r="BB134" s="2"/>
      <c r="BC134" s="2"/>
      <c r="BD134" s="2"/>
      <c r="BE134" s="2"/>
      <c r="BF134" s="2"/>
      <c r="BG134" s="2">
        <v>0</v>
      </c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>
        <v>1</v>
      </c>
      <c r="BV134" s="2">
        <v>1</v>
      </c>
      <c r="BW134" s="2">
        <v>0</v>
      </c>
      <c r="BX134" s="2">
        <v>1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>
        <v>4</v>
      </c>
      <c r="CR134" s="2" t="s">
        <v>145</v>
      </c>
      <c r="CS134" s="2">
        <v>4</v>
      </c>
      <c r="CT134" s="2" t="s">
        <v>145</v>
      </c>
      <c r="CU134" s="2"/>
      <c r="CV134" s="2"/>
      <c r="CW134" s="2"/>
      <c r="CX134" s="2"/>
    </row>
    <row r="135" ht="46" customHeight="1" spans="1:102">
      <c r="A135" s="2" t="s">
        <v>478</v>
      </c>
      <c r="B135" s="2">
        <v>135</v>
      </c>
      <c r="C135" s="2" t="s">
        <v>286</v>
      </c>
      <c r="D135" s="2">
        <v>1</v>
      </c>
      <c r="E135" s="2">
        <v>1</v>
      </c>
      <c r="F135" s="2">
        <v>378</v>
      </c>
      <c r="G135" s="2" t="s">
        <v>9</v>
      </c>
      <c r="H135" s="2" t="s">
        <v>23</v>
      </c>
      <c r="I135" s="2" t="s">
        <v>28</v>
      </c>
      <c r="J135" s="2" t="s">
        <v>35</v>
      </c>
      <c r="K135" s="2" t="s">
        <v>49</v>
      </c>
      <c r="L135" s="2">
        <v>1</v>
      </c>
      <c r="M135" s="2" t="s">
        <v>43</v>
      </c>
      <c r="N135" s="2" t="s">
        <v>287</v>
      </c>
      <c r="O135" s="2">
        <v>0</v>
      </c>
      <c r="P135" s="2" t="s">
        <v>288</v>
      </c>
      <c r="Q135" s="2">
        <v>0</v>
      </c>
      <c r="R135" s="2">
        <v>0</v>
      </c>
      <c r="S135" s="2">
        <v>0</v>
      </c>
      <c r="T135" s="2">
        <v>1</v>
      </c>
      <c r="U135" s="2">
        <v>1</v>
      </c>
      <c r="V135" s="2" t="s">
        <v>289</v>
      </c>
      <c r="W135" s="2" t="s">
        <v>290</v>
      </c>
      <c r="X135" s="2" t="s">
        <v>83</v>
      </c>
      <c r="Y135" s="2">
        <v>1</v>
      </c>
      <c r="Z135" s="2">
        <v>0</v>
      </c>
      <c r="AA135" s="2">
        <v>0</v>
      </c>
      <c r="AB135" s="2">
        <v>1</v>
      </c>
      <c r="AC135" s="2">
        <v>1</v>
      </c>
      <c r="AD135" s="2">
        <v>1</v>
      </c>
      <c r="AE135" s="2">
        <v>0</v>
      </c>
      <c r="AF135" s="2">
        <v>0</v>
      </c>
      <c r="AG135" s="2">
        <v>1</v>
      </c>
      <c r="AH135" s="2">
        <v>0</v>
      </c>
      <c r="AI135" s="2">
        <v>0</v>
      </c>
      <c r="AJ135" s="2">
        <v>1</v>
      </c>
      <c r="AK135" s="2">
        <v>0</v>
      </c>
      <c r="AL135" s="2">
        <v>0</v>
      </c>
      <c r="AM135" s="2">
        <v>0</v>
      </c>
      <c r="AN135" s="2">
        <v>1</v>
      </c>
      <c r="AO135" s="2">
        <v>0</v>
      </c>
      <c r="AP135" s="2">
        <v>0</v>
      </c>
      <c r="AQ135" s="2">
        <v>1</v>
      </c>
      <c r="AR135" s="2">
        <v>0</v>
      </c>
      <c r="AS135" s="2">
        <v>0</v>
      </c>
      <c r="AT135" s="2">
        <v>1</v>
      </c>
      <c r="AU135" s="2">
        <v>1</v>
      </c>
      <c r="AV135" s="2">
        <v>1</v>
      </c>
      <c r="AW135" s="2">
        <v>1</v>
      </c>
      <c r="AX135" s="2">
        <v>1</v>
      </c>
      <c r="AY135" s="2">
        <v>1</v>
      </c>
      <c r="AZ135" s="2">
        <v>0</v>
      </c>
      <c r="BA135" s="2">
        <v>1</v>
      </c>
      <c r="BB135" s="2">
        <v>0</v>
      </c>
      <c r="BC135" s="2">
        <v>0</v>
      </c>
      <c r="BD135" s="2">
        <v>1</v>
      </c>
      <c r="BE135" s="2">
        <v>0</v>
      </c>
      <c r="BF135" s="2">
        <v>0</v>
      </c>
      <c r="BG135" s="2">
        <v>0</v>
      </c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>
        <v>1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1</v>
      </c>
      <c r="CC135" s="2">
        <v>0</v>
      </c>
      <c r="CD135" s="2">
        <v>1</v>
      </c>
      <c r="CE135" s="2">
        <v>0</v>
      </c>
      <c r="CF135" s="2">
        <v>0</v>
      </c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>
        <v>5</v>
      </c>
      <c r="CT135" s="2" t="s">
        <v>146</v>
      </c>
      <c r="CU135" s="2"/>
      <c r="CV135" s="2"/>
      <c r="CW135" s="2"/>
      <c r="CX135" s="2"/>
    </row>
    <row r="136" ht="46" customHeight="1" spans="1:102">
      <c r="A136" s="2" t="s">
        <v>479</v>
      </c>
      <c r="B136" s="2">
        <v>136</v>
      </c>
      <c r="C136" s="2" t="s">
        <v>286</v>
      </c>
      <c r="D136" s="2">
        <v>1</v>
      </c>
      <c r="E136" s="2">
        <v>1</v>
      </c>
      <c r="F136" s="2">
        <v>343</v>
      </c>
      <c r="G136" s="2" t="s">
        <v>11</v>
      </c>
      <c r="H136" s="2" t="s">
        <v>23</v>
      </c>
      <c r="I136" s="2" t="s">
        <v>29</v>
      </c>
      <c r="J136" s="2" t="s">
        <v>35</v>
      </c>
      <c r="K136" s="2" t="s">
        <v>42</v>
      </c>
      <c r="L136" s="2">
        <v>1</v>
      </c>
      <c r="M136" s="2" t="s">
        <v>43</v>
      </c>
      <c r="N136" s="2" t="s">
        <v>287</v>
      </c>
      <c r="O136" s="2">
        <v>0</v>
      </c>
      <c r="P136" s="2" t="s">
        <v>480</v>
      </c>
      <c r="Q136" s="2">
        <v>0</v>
      </c>
      <c r="R136" s="2">
        <v>0</v>
      </c>
      <c r="S136" s="2">
        <v>0</v>
      </c>
      <c r="T136" s="2">
        <v>1</v>
      </c>
      <c r="U136" s="2">
        <v>1</v>
      </c>
      <c r="V136" s="2" t="s">
        <v>293</v>
      </c>
      <c r="W136" s="2" t="s">
        <v>319</v>
      </c>
      <c r="X136" s="2" t="s">
        <v>84</v>
      </c>
      <c r="Y136" s="2">
        <v>1</v>
      </c>
      <c r="Z136" s="2">
        <v>0</v>
      </c>
      <c r="AA136" s="2">
        <v>0</v>
      </c>
      <c r="AB136" s="2">
        <v>1</v>
      </c>
      <c r="AC136" s="2">
        <v>1</v>
      </c>
      <c r="AD136" s="2">
        <v>0</v>
      </c>
      <c r="AE136" s="2">
        <v>1</v>
      </c>
      <c r="AF136" s="2">
        <v>0</v>
      </c>
      <c r="AG136" s="2">
        <v>1</v>
      </c>
      <c r="AH136" s="2">
        <v>1</v>
      </c>
      <c r="AI136" s="2">
        <v>0</v>
      </c>
      <c r="AJ136" s="2">
        <v>1</v>
      </c>
      <c r="AK136" s="2">
        <v>1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1</v>
      </c>
      <c r="AR136" s="2">
        <v>0</v>
      </c>
      <c r="AS136" s="2">
        <v>0</v>
      </c>
      <c r="AT136" s="2">
        <v>0</v>
      </c>
      <c r="AU136" s="2">
        <v>1</v>
      </c>
      <c r="AV136" s="2">
        <v>0</v>
      </c>
      <c r="AW136" s="2">
        <v>0</v>
      </c>
      <c r="AX136" s="2">
        <v>1</v>
      </c>
      <c r="AY136" s="2">
        <v>1</v>
      </c>
      <c r="AZ136" s="2">
        <v>0</v>
      </c>
      <c r="BA136" s="2">
        <v>0</v>
      </c>
      <c r="BB136" s="2">
        <v>0</v>
      </c>
      <c r="BC136" s="2">
        <v>0</v>
      </c>
      <c r="BD136" s="2">
        <v>1</v>
      </c>
      <c r="BE136" s="2">
        <v>0</v>
      </c>
      <c r="BF136" s="2">
        <v>1</v>
      </c>
      <c r="BG136" s="2">
        <v>0</v>
      </c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>
        <v>1</v>
      </c>
      <c r="BV136" s="2">
        <v>1</v>
      </c>
      <c r="BW136" s="2">
        <v>0</v>
      </c>
      <c r="BX136" s="2">
        <v>0</v>
      </c>
      <c r="BY136" s="2">
        <v>0</v>
      </c>
      <c r="BZ136" s="2">
        <v>0</v>
      </c>
      <c r="CA136" s="2">
        <v>1</v>
      </c>
      <c r="CB136" s="2">
        <v>0</v>
      </c>
      <c r="CC136" s="2">
        <v>1</v>
      </c>
      <c r="CD136" s="2">
        <v>0</v>
      </c>
      <c r="CE136" s="2">
        <v>0</v>
      </c>
      <c r="CF136" s="2">
        <v>0</v>
      </c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 t="s">
        <v>296</v>
      </c>
      <c r="CS136" s="2"/>
      <c r="CT136" s="2"/>
      <c r="CU136" s="2">
        <v>5</v>
      </c>
      <c r="CV136" s="2" t="s">
        <v>146</v>
      </c>
      <c r="CW136" s="2"/>
      <c r="CX136" s="2"/>
    </row>
    <row r="137" ht="46" customHeight="1" spans="1:102">
      <c r="A137" s="2" t="s">
        <v>481</v>
      </c>
      <c r="B137" s="2">
        <v>137</v>
      </c>
      <c r="C137" s="2" t="s">
        <v>286</v>
      </c>
      <c r="D137" s="2">
        <v>1</v>
      </c>
      <c r="E137" s="2">
        <v>1</v>
      </c>
      <c r="F137" s="2">
        <v>751</v>
      </c>
      <c r="G137" s="2" t="s">
        <v>9</v>
      </c>
      <c r="H137" s="2" t="s">
        <v>24</v>
      </c>
      <c r="I137" s="2" t="s">
        <v>29</v>
      </c>
      <c r="J137" s="2" t="s">
        <v>37</v>
      </c>
      <c r="K137" s="2" t="s">
        <v>44</v>
      </c>
      <c r="L137" s="2">
        <v>1</v>
      </c>
      <c r="M137" s="2" t="s">
        <v>47</v>
      </c>
      <c r="N137" s="2" t="s">
        <v>287</v>
      </c>
      <c r="O137" s="2">
        <v>0</v>
      </c>
      <c r="P137" s="2" t="s">
        <v>301</v>
      </c>
      <c r="Q137" s="2">
        <v>0</v>
      </c>
      <c r="R137" s="2">
        <v>0</v>
      </c>
      <c r="S137" s="2">
        <v>0</v>
      </c>
      <c r="T137" s="2">
        <v>1</v>
      </c>
      <c r="U137" s="2">
        <v>0</v>
      </c>
      <c r="V137" s="2" t="s">
        <v>289</v>
      </c>
      <c r="W137" s="2" t="s">
        <v>319</v>
      </c>
      <c r="X137" s="2" t="s">
        <v>83</v>
      </c>
      <c r="Y137" s="2">
        <v>1</v>
      </c>
      <c r="Z137" s="2">
        <v>0</v>
      </c>
      <c r="AA137" s="2">
        <v>0</v>
      </c>
      <c r="AB137" s="2">
        <v>0</v>
      </c>
      <c r="AC137" s="2">
        <v>0</v>
      </c>
      <c r="AD137" s="2">
        <v>1</v>
      </c>
      <c r="AE137" s="2">
        <v>1</v>
      </c>
      <c r="AF137" s="2">
        <v>0</v>
      </c>
      <c r="AG137" s="2">
        <v>1</v>
      </c>
      <c r="AH137" s="2">
        <v>0</v>
      </c>
      <c r="AI137" s="2">
        <v>1</v>
      </c>
      <c r="AJ137" s="2">
        <v>1</v>
      </c>
      <c r="AK137" s="2">
        <v>1</v>
      </c>
      <c r="AL137" s="2">
        <v>0</v>
      </c>
      <c r="AM137" s="2">
        <v>1</v>
      </c>
      <c r="AN137" s="2">
        <v>0</v>
      </c>
      <c r="AO137" s="2">
        <v>0</v>
      </c>
      <c r="AP137" s="2">
        <v>0</v>
      </c>
      <c r="AQ137" s="2">
        <v>0</v>
      </c>
      <c r="AR137" s="2"/>
      <c r="AS137" s="2"/>
      <c r="AT137" s="2"/>
      <c r="AU137" s="2"/>
      <c r="AV137" s="2"/>
      <c r="AW137" s="2"/>
      <c r="AX137" s="2">
        <v>1</v>
      </c>
      <c r="AY137" s="2">
        <v>0</v>
      </c>
      <c r="AZ137" s="2">
        <v>0</v>
      </c>
      <c r="BA137" s="2">
        <v>1</v>
      </c>
      <c r="BB137" s="2">
        <v>0</v>
      </c>
      <c r="BC137" s="2">
        <v>1</v>
      </c>
      <c r="BD137" s="2">
        <v>0</v>
      </c>
      <c r="BE137" s="2">
        <v>0</v>
      </c>
      <c r="BF137" s="2">
        <v>0</v>
      </c>
      <c r="BG137" s="2">
        <v>1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1</v>
      </c>
      <c r="BP137" s="2">
        <v>1</v>
      </c>
      <c r="BQ137" s="2">
        <v>0</v>
      </c>
      <c r="BR137" s="2">
        <v>0</v>
      </c>
      <c r="BS137" s="2">
        <v>0</v>
      </c>
      <c r="BT137" s="2">
        <v>1</v>
      </c>
      <c r="BU137" s="2">
        <v>1</v>
      </c>
      <c r="BV137" s="2">
        <v>1</v>
      </c>
      <c r="BW137" s="2">
        <v>0</v>
      </c>
      <c r="BX137" s="2">
        <v>1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>
        <v>2</v>
      </c>
      <c r="CR137" s="2" t="s">
        <v>143</v>
      </c>
      <c r="CS137" s="2">
        <v>3</v>
      </c>
      <c r="CT137" s="2" t="s">
        <v>47</v>
      </c>
      <c r="CU137" s="2">
        <v>4</v>
      </c>
      <c r="CV137" s="2" t="s">
        <v>145</v>
      </c>
      <c r="CW137" s="2">
        <v>5</v>
      </c>
      <c r="CX137" s="2" t="s">
        <v>146</v>
      </c>
    </row>
    <row r="138" ht="46" customHeight="1" spans="1:102">
      <c r="A138" s="2" t="s">
        <v>482</v>
      </c>
      <c r="B138" s="2">
        <v>138</v>
      </c>
      <c r="C138" s="2" t="s">
        <v>286</v>
      </c>
      <c r="D138" s="2">
        <v>1</v>
      </c>
      <c r="E138" s="2">
        <v>1</v>
      </c>
      <c r="F138" s="2">
        <v>367</v>
      </c>
      <c r="G138" s="2" t="s">
        <v>7</v>
      </c>
      <c r="H138" s="2" t="s">
        <v>23</v>
      </c>
      <c r="I138" s="2" t="s">
        <v>29</v>
      </c>
      <c r="J138" s="2" t="s">
        <v>37</v>
      </c>
      <c r="K138" s="2" t="s">
        <v>42</v>
      </c>
      <c r="L138" s="2">
        <v>1</v>
      </c>
      <c r="M138" s="2" t="s">
        <v>43</v>
      </c>
      <c r="N138" s="2" t="s">
        <v>287</v>
      </c>
      <c r="O138" s="2">
        <v>0</v>
      </c>
      <c r="P138" s="2" t="s">
        <v>288</v>
      </c>
      <c r="Q138" s="2">
        <v>0</v>
      </c>
      <c r="R138" s="2">
        <v>0</v>
      </c>
      <c r="S138" s="2">
        <v>0</v>
      </c>
      <c r="T138" s="2">
        <v>1</v>
      </c>
      <c r="U138" s="2">
        <v>1</v>
      </c>
      <c r="V138" s="2" t="s">
        <v>293</v>
      </c>
      <c r="W138" s="2" t="s">
        <v>319</v>
      </c>
      <c r="X138" s="2" t="s">
        <v>84</v>
      </c>
      <c r="Y138" s="2">
        <v>1</v>
      </c>
      <c r="Z138" s="2">
        <v>0</v>
      </c>
      <c r="AA138" s="2">
        <v>0</v>
      </c>
      <c r="AB138" s="2">
        <v>0</v>
      </c>
      <c r="AC138" s="2">
        <v>0</v>
      </c>
      <c r="AD138" s="2">
        <v>1</v>
      </c>
      <c r="AE138" s="2">
        <v>1</v>
      </c>
      <c r="AF138" s="2">
        <v>0</v>
      </c>
      <c r="AG138" s="2">
        <v>1</v>
      </c>
      <c r="AH138" s="2">
        <v>0</v>
      </c>
      <c r="AI138" s="2">
        <v>0</v>
      </c>
      <c r="AJ138" s="2">
        <v>1</v>
      </c>
      <c r="AK138" s="2">
        <v>0</v>
      </c>
      <c r="AL138" s="2">
        <v>0</v>
      </c>
      <c r="AM138" s="2">
        <v>1</v>
      </c>
      <c r="AN138" s="2">
        <v>0</v>
      </c>
      <c r="AO138" s="2">
        <v>0</v>
      </c>
      <c r="AP138" s="2">
        <v>0</v>
      </c>
      <c r="AQ138" s="2">
        <v>1</v>
      </c>
      <c r="AR138" s="2">
        <v>0</v>
      </c>
      <c r="AS138" s="2">
        <v>0</v>
      </c>
      <c r="AT138" s="2">
        <v>1</v>
      </c>
      <c r="AU138" s="2">
        <v>1</v>
      </c>
      <c r="AV138" s="2">
        <v>0</v>
      </c>
      <c r="AW138" s="2">
        <v>0</v>
      </c>
      <c r="AX138" s="2">
        <v>1</v>
      </c>
      <c r="AY138" s="2">
        <v>0</v>
      </c>
      <c r="AZ138" s="2">
        <v>0</v>
      </c>
      <c r="BA138" s="2">
        <v>0</v>
      </c>
      <c r="BB138" s="2">
        <v>0</v>
      </c>
      <c r="BC138" s="2">
        <v>1</v>
      </c>
      <c r="BD138" s="2">
        <v>0</v>
      </c>
      <c r="BE138" s="2">
        <v>0</v>
      </c>
      <c r="BF138" s="2">
        <v>1</v>
      </c>
      <c r="BG138" s="2">
        <v>0</v>
      </c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>
        <v>1</v>
      </c>
      <c r="BV138" s="2">
        <v>1</v>
      </c>
      <c r="BW138" s="2">
        <v>1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>
        <v>4</v>
      </c>
      <c r="CR138" s="2" t="s">
        <v>145</v>
      </c>
      <c r="CS138" s="2">
        <v>5</v>
      </c>
      <c r="CT138" s="2" t="s">
        <v>146</v>
      </c>
      <c r="CU138" s="2"/>
      <c r="CV138" s="2"/>
      <c r="CW138" s="2"/>
      <c r="CX138" s="2"/>
    </row>
    <row r="139" ht="46" customHeight="1" spans="1:102">
      <c r="A139" s="2" t="s">
        <v>483</v>
      </c>
      <c r="B139" s="2">
        <v>139</v>
      </c>
      <c r="C139" s="2" t="s">
        <v>286</v>
      </c>
      <c r="D139" s="2">
        <v>1</v>
      </c>
      <c r="E139" s="2">
        <v>1</v>
      </c>
      <c r="F139" s="2">
        <v>454</v>
      </c>
      <c r="G139" s="2" t="s">
        <v>9</v>
      </c>
      <c r="H139" s="2" t="s">
        <v>23</v>
      </c>
      <c r="I139" s="2" t="s">
        <v>29</v>
      </c>
      <c r="J139" s="2" t="s">
        <v>37</v>
      </c>
      <c r="K139" s="2" t="s">
        <v>44</v>
      </c>
      <c r="L139" s="2">
        <v>1</v>
      </c>
      <c r="M139" s="2" t="s">
        <v>43</v>
      </c>
      <c r="N139" s="2" t="s">
        <v>287</v>
      </c>
      <c r="O139" s="2">
        <v>0</v>
      </c>
      <c r="P139" s="2" t="s">
        <v>288</v>
      </c>
      <c r="Q139" s="2">
        <v>0</v>
      </c>
      <c r="R139" s="2">
        <v>0</v>
      </c>
      <c r="S139" s="2">
        <v>0</v>
      </c>
      <c r="T139" s="2">
        <v>1</v>
      </c>
      <c r="U139" s="2">
        <v>1</v>
      </c>
      <c r="V139" s="2" t="s">
        <v>293</v>
      </c>
      <c r="W139" s="2" t="s">
        <v>290</v>
      </c>
      <c r="X139" s="2" t="s">
        <v>84</v>
      </c>
      <c r="Y139" s="2">
        <v>1</v>
      </c>
      <c r="Z139" s="2">
        <v>0</v>
      </c>
      <c r="AA139" s="2">
        <v>0</v>
      </c>
      <c r="AB139" s="2">
        <v>0</v>
      </c>
      <c r="AC139" s="2">
        <v>1</v>
      </c>
      <c r="AD139" s="2">
        <v>1</v>
      </c>
      <c r="AE139" s="2">
        <v>1</v>
      </c>
      <c r="AF139" s="2">
        <v>0</v>
      </c>
      <c r="AG139" s="2">
        <v>1</v>
      </c>
      <c r="AH139" s="2">
        <v>1</v>
      </c>
      <c r="AI139" s="2">
        <v>1</v>
      </c>
      <c r="AJ139" s="2">
        <v>1</v>
      </c>
      <c r="AK139" s="2">
        <v>1</v>
      </c>
      <c r="AL139" s="2">
        <v>0</v>
      </c>
      <c r="AM139" s="2">
        <v>1</v>
      </c>
      <c r="AN139" s="2">
        <v>0</v>
      </c>
      <c r="AO139" s="2">
        <v>0</v>
      </c>
      <c r="AP139" s="2">
        <v>1</v>
      </c>
      <c r="AQ139" s="2">
        <v>1</v>
      </c>
      <c r="AR139" s="2">
        <v>1</v>
      </c>
      <c r="AS139" s="2">
        <v>0</v>
      </c>
      <c r="AT139" s="2">
        <v>0</v>
      </c>
      <c r="AU139" s="2">
        <v>1</v>
      </c>
      <c r="AV139" s="2">
        <v>1</v>
      </c>
      <c r="AW139" s="2">
        <v>0</v>
      </c>
      <c r="AX139" s="2">
        <v>1</v>
      </c>
      <c r="AY139" s="2">
        <v>1</v>
      </c>
      <c r="AZ139" s="2">
        <v>1</v>
      </c>
      <c r="BA139" s="2">
        <v>1</v>
      </c>
      <c r="BB139" s="2">
        <v>0</v>
      </c>
      <c r="BC139" s="2">
        <v>1</v>
      </c>
      <c r="BD139" s="2">
        <v>0</v>
      </c>
      <c r="BE139" s="2">
        <v>0</v>
      </c>
      <c r="BF139" s="2">
        <v>1</v>
      </c>
      <c r="BG139" s="2">
        <v>0</v>
      </c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>
        <v>1</v>
      </c>
      <c r="BV139" s="2">
        <v>1</v>
      </c>
      <c r="BW139" s="2">
        <v>1</v>
      </c>
      <c r="BX139" s="2">
        <v>0</v>
      </c>
      <c r="BY139" s="2">
        <v>0</v>
      </c>
      <c r="BZ139" s="2">
        <v>0</v>
      </c>
      <c r="CA139" s="2">
        <v>0</v>
      </c>
      <c r="CB139" s="2">
        <v>1</v>
      </c>
      <c r="CC139" s="2">
        <v>1</v>
      </c>
      <c r="CD139" s="2">
        <v>1</v>
      </c>
      <c r="CE139" s="2">
        <v>0</v>
      </c>
      <c r="CF139" s="2">
        <v>0</v>
      </c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>
        <v>5</v>
      </c>
      <c r="CR139" s="2" t="s">
        <v>146</v>
      </c>
      <c r="CS139" s="2">
        <v>4</v>
      </c>
      <c r="CT139" s="2" t="s">
        <v>145</v>
      </c>
      <c r="CU139" s="2">
        <v>5</v>
      </c>
      <c r="CV139" s="2" t="s">
        <v>146</v>
      </c>
      <c r="CW139" s="2">
        <v>3</v>
      </c>
      <c r="CX139" s="2" t="s">
        <v>47</v>
      </c>
    </row>
    <row r="140" ht="46" customHeight="1" spans="1:102">
      <c r="A140" s="2" t="s">
        <v>484</v>
      </c>
      <c r="B140" s="2">
        <v>140</v>
      </c>
      <c r="C140" s="2" t="s">
        <v>286</v>
      </c>
      <c r="D140" s="2">
        <v>1</v>
      </c>
      <c r="E140" s="2">
        <v>1</v>
      </c>
      <c r="F140" s="2">
        <v>199</v>
      </c>
      <c r="G140" s="2" t="s">
        <v>7</v>
      </c>
      <c r="H140" s="2" t="s">
        <v>23</v>
      </c>
      <c r="I140" s="2" t="s">
        <v>29</v>
      </c>
      <c r="J140" s="2" t="s">
        <v>36</v>
      </c>
      <c r="K140" s="2" t="s">
        <v>44</v>
      </c>
      <c r="L140" s="2">
        <v>1</v>
      </c>
      <c r="M140" s="2" t="s">
        <v>47</v>
      </c>
      <c r="N140" s="2" t="s">
        <v>287</v>
      </c>
      <c r="O140" s="2">
        <v>0</v>
      </c>
      <c r="P140" s="2" t="s">
        <v>301</v>
      </c>
      <c r="Q140" s="2">
        <v>0</v>
      </c>
      <c r="R140" s="2">
        <v>0</v>
      </c>
      <c r="S140" s="2">
        <v>0</v>
      </c>
      <c r="T140" s="2">
        <v>1</v>
      </c>
      <c r="U140" s="2">
        <v>0</v>
      </c>
      <c r="V140" s="2" t="s">
        <v>293</v>
      </c>
      <c r="W140" s="2" t="s">
        <v>294</v>
      </c>
      <c r="X140" s="2" t="s">
        <v>84</v>
      </c>
      <c r="Y140" s="2">
        <v>1</v>
      </c>
      <c r="Z140" s="2">
        <v>0</v>
      </c>
      <c r="AA140" s="2">
        <v>0</v>
      </c>
      <c r="AB140" s="2">
        <v>0</v>
      </c>
      <c r="AC140" s="2">
        <v>0</v>
      </c>
      <c r="AD140" s="2">
        <v>1</v>
      </c>
      <c r="AE140" s="2">
        <v>0</v>
      </c>
      <c r="AF140" s="2">
        <v>0</v>
      </c>
      <c r="AG140" s="2">
        <v>1</v>
      </c>
      <c r="AH140" s="2">
        <v>0</v>
      </c>
      <c r="AI140" s="2">
        <v>0</v>
      </c>
      <c r="AJ140" s="2">
        <v>0</v>
      </c>
      <c r="AK140" s="2">
        <v>1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/>
      <c r="AS140" s="2"/>
      <c r="AT140" s="2"/>
      <c r="AU140" s="2"/>
      <c r="AV140" s="2"/>
      <c r="AW140" s="2"/>
      <c r="AX140" s="2">
        <v>1</v>
      </c>
      <c r="AY140" s="2">
        <v>0</v>
      </c>
      <c r="AZ140" s="2">
        <v>0</v>
      </c>
      <c r="BA140" s="2">
        <v>1</v>
      </c>
      <c r="BB140" s="2">
        <v>0</v>
      </c>
      <c r="BC140" s="2">
        <v>0</v>
      </c>
      <c r="BD140" s="2">
        <v>0</v>
      </c>
      <c r="BE140" s="2">
        <v>0</v>
      </c>
      <c r="BF140" s="2">
        <v>1</v>
      </c>
      <c r="BG140" s="2">
        <v>1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1</v>
      </c>
      <c r="BR140" s="2">
        <v>0</v>
      </c>
      <c r="BS140" s="2">
        <v>0</v>
      </c>
      <c r="BT140" s="2">
        <v>0</v>
      </c>
      <c r="BU140" s="2">
        <v>1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1</v>
      </c>
      <c r="CF140" s="2">
        <v>0</v>
      </c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>
        <v>4</v>
      </c>
      <c r="CR140" s="2" t="s">
        <v>145</v>
      </c>
      <c r="CS140" s="2">
        <v>5</v>
      </c>
      <c r="CT140" s="2" t="s">
        <v>146</v>
      </c>
      <c r="CU140" s="2">
        <v>4</v>
      </c>
      <c r="CV140" s="2" t="s">
        <v>145</v>
      </c>
      <c r="CW140" s="2">
        <v>4</v>
      </c>
      <c r="CX140" s="2" t="s">
        <v>145</v>
      </c>
    </row>
    <row r="141" ht="46" customHeight="1" spans="1:102">
      <c r="A141" s="2" t="s">
        <v>485</v>
      </c>
      <c r="B141" s="2">
        <v>141</v>
      </c>
      <c r="C141" s="2" t="s">
        <v>286</v>
      </c>
      <c r="D141" s="2">
        <v>1</v>
      </c>
      <c r="E141" s="2">
        <v>1</v>
      </c>
      <c r="F141" s="2">
        <v>555</v>
      </c>
      <c r="G141" s="2" t="s">
        <v>7</v>
      </c>
      <c r="H141" s="2" t="s">
        <v>23</v>
      </c>
      <c r="I141" s="2" t="s">
        <v>28</v>
      </c>
      <c r="J141" s="2" t="s">
        <v>34</v>
      </c>
      <c r="K141" s="2" t="s">
        <v>44</v>
      </c>
      <c r="L141" s="2">
        <v>1</v>
      </c>
      <c r="M141" s="2" t="s">
        <v>43</v>
      </c>
      <c r="N141" s="2" t="s">
        <v>287</v>
      </c>
      <c r="O141" s="2">
        <v>0</v>
      </c>
      <c r="P141" s="2" t="s">
        <v>288</v>
      </c>
      <c r="Q141" s="2">
        <v>0</v>
      </c>
      <c r="R141" s="2">
        <v>0</v>
      </c>
      <c r="S141" s="2">
        <v>0</v>
      </c>
      <c r="T141" s="2">
        <v>1</v>
      </c>
      <c r="U141" s="2">
        <v>1</v>
      </c>
      <c r="V141" s="2" t="s">
        <v>289</v>
      </c>
      <c r="W141" s="2" t="s">
        <v>290</v>
      </c>
      <c r="X141" s="2" t="s">
        <v>83</v>
      </c>
      <c r="Y141" s="2">
        <v>1</v>
      </c>
      <c r="Z141" s="2">
        <v>0</v>
      </c>
      <c r="AA141" s="2">
        <v>0</v>
      </c>
      <c r="AB141" s="2">
        <v>1</v>
      </c>
      <c r="AC141" s="2">
        <v>1</v>
      </c>
      <c r="AD141" s="2">
        <v>0</v>
      </c>
      <c r="AE141" s="2">
        <v>1</v>
      </c>
      <c r="AF141" s="2">
        <v>0</v>
      </c>
      <c r="AG141" s="2">
        <v>1</v>
      </c>
      <c r="AH141" s="2">
        <v>1</v>
      </c>
      <c r="AI141" s="2">
        <v>0</v>
      </c>
      <c r="AJ141" s="2">
        <v>1</v>
      </c>
      <c r="AK141" s="2">
        <v>0</v>
      </c>
      <c r="AL141" s="2">
        <v>0</v>
      </c>
      <c r="AM141" s="2">
        <v>1</v>
      </c>
      <c r="AN141" s="2">
        <v>0</v>
      </c>
      <c r="AO141" s="2">
        <v>0</v>
      </c>
      <c r="AP141" s="2">
        <v>1</v>
      </c>
      <c r="AQ141" s="2">
        <v>1</v>
      </c>
      <c r="AR141" s="2">
        <v>0</v>
      </c>
      <c r="AS141" s="2">
        <v>0</v>
      </c>
      <c r="AT141" s="2">
        <v>1</v>
      </c>
      <c r="AU141" s="2">
        <v>0</v>
      </c>
      <c r="AV141" s="2">
        <v>0</v>
      </c>
      <c r="AW141" s="2">
        <v>0</v>
      </c>
      <c r="AX141" s="2">
        <v>1</v>
      </c>
      <c r="AY141" s="2">
        <v>0</v>
      </c>
      <c r="AZ141" s="2">
        <v>1</v>
      </c>
      <c r="BA141" s="2">
        <v>0</v>
      </c>
      <c r="BB141" s="2">
        <v>0</v>
      </c>
      <c r="BC141" s="2">
        <v>1</v>
      </c>
      <c r="BD141" s="2">
        <v>0</v>
      </c>
      <c r="BE141" s="2">
        <v>0</v>
      </c>
      <c r="BF141" s="2">
        <v>1</v>
      </c>
      <c r="BG141" s="2">
        <v>0</v>
      </c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>
        <v>1</v>
      </c>
      <c r="BV141" s="2">
        <v>0</v>
      </c>
      <c r="BW141" s="2">
        <v>0</v>
      </c>
      <c r="BX141" s="2">
        <v>1</v>
      </c>
      <c r="BY141" s="2">
        <v>0</v>
      </c>
      <c r="BZ141" s="2">
        <v>0</v>
      </c>
      <c r="CA141" s="2">
        <v>1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>
        <v>4</v>
      </c>
      <c r="CR141" s="2" t="s">
        <v>145</v>
      </c>
      <c r="CS141" s="2">
        <v>4</v>
      </c>
      <c r="CT141" s="2" t="s">
        <v>145</v>
      </c>
      <c r="CU141" s="2">
        <v>97</v>
      </c>
      <c r="CV141" s="2" t="s">
        <v>147</v>
      </c>
      <c r="CW141" s="2">
        <v>5</v>
      </c>
      <c r="CX141" s="2" t="s">
        <v>146</v>
      </c>
    </row>
    <row r="142" ht="46" customHeight="1" spans="1:102">
      <c r="A142" s="2" t="s">
        <v>486</v>
      </c>
      <c r="B142" s="2">
        <v>142</v>
      </c>
      <c r="C142" s="2" t="s">
        <v>286</v>
      </c>
      <c r="D142" s="2">
        <v>1</v>
      </c>
      <c r="E142" s="2">
        <v>1</v>
      </c>
      <c r="F142" s="2">
        <v>263</v>
      </c>
      <c r="G142" s="2" t="s">
        <v>9</v>
      </c>
      <c r="H142" s="2" t="s">
        <v>25</v>
      </c>
      <c r="I142" s="2" t="s">
        <v>29</v>
      </c>
      <c r="J142" s="2" t="s">
        <v>34</v>
      </c>
      <c r="K142" s="2" t="s">
        <v>44</v>
      </c>
      <c r="L142" s="2">
        <v>1</v>
      </c>
      <c r="M142" s="2" t="s">
        <v>43</v>
      </c>
      <c r="N142" s="2" t="s">
        <v>287</v>
      </c>
      <c r="O142" s="2">
        <v>0</v>
      </c>
      <c r="P142" s="2" t="s">
        <v>409</v>
      </c>
      <c r="Q142" s="2">
        <v>0</v>
      </c>
      <c r="R142" s="2">
        <v>0</v>
      </c>
      <c r="S142" s="2">
        <v>0</v>
      </c>
      <c r="T142" s="2">
        <v>0</v>
      </c>
      <c r="U142" s="2">
        <v>1</v>
      </c>
      <c r="V142" s="2" t="s">
        <v>289</v>
      </c>
      <c r="W142" s="2" t="s">
        <v>319</v>
      </c>
      <c r="X142" s="2" t="s">
        <v>83</v>
      </c>
      <c r="Y142" s="2">
        <v>1</v>
      </c>
      <c r="Z142" s="2">
        <v>1</v>
      </c>
      <c r="AA142" s="2">
        <v>0</v>
      </c>
      <c r="AB142" s="2">
        <v>1</v>
      </c>
      <c r="AC142" s="2">
        <v>0</v>
      </c>
      <c r="AD142" s="2">
        <v>0</v>
      </c>
      <c r="AE142" s="2">
        <v>0</v>
      </c>
      <c r="AF142" s="2">
        <v>0</v>
      </c>
      <c r="AG142" s="2">
        <v>1</v>
      </c>
      <c r="AH142" s="2">
        <v>1</v>
      </c>
      <c r="AI142" s="2">
        <v>0</v>
      </c>
      <c r="AJ142" s="2">
        <v>0</v>
      </c>
      <c r="AK142" s="2">
        <v>0</v>
      </c>
      <c r="AL142" s="2">
        <v>0</v>
      </c>
      <c r="AM142" s="2">
        <v>1</v>
      </c>
      <c r="AN142" s="2">
        <v>0</v>
      </c>
      <c r="AO142" s="2">
        <v>0</v>
      </c>
      <c r="AP142" s="2">
        <v>0</v>
      </c>
      <c r="AQ142" s="2">
        <v>1</v>
      </c>
      <c r="AR142" s="2">
        <v>0</v>
      </c>
      <c r="AS142" s="2">
        <v>0</v>
      </c>
      <c r="AT142" s="2">
        <v>1</v>
      </c>
      <c r="AU142" s="2">
        <v>0</v>
      </c>
      <c r="AV142" s="2">
        <v>0</v>
      </c>
      <c r="AW142" s="2">
        <v>0</v>
      </c>
      <c r="AX142" s="2">
        <v>1</v>
      </c>
      <c r="AY142" s="2">
        <v>0</v>
      </c>
      <c r="AZ142" s="2">
        <v>1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>
        <v>1</v>
      </c>
      <c r="BV142" s="2">
        <v>1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1</v>
      </c>
      <c r="CC142" s="2">
        <v>0</v>
      </c>
      <c r="CD142" s="2">
        <v>0</v>
      </c>
      <c r="CE142" s="2">
        <v>0</v>
      </c>
      <c r="CF142" s="2">
        <v>1</v>
      </c>
      <c r="CG142" s="2">
        <v>0</v>
      </c>
      <c r="CH142" s="2">
        <v>1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/>
      <c r="CR142" s="2"/>
      <c r="CS142" s="2">
        <v>3</v>
      </c>
      <c r="CT142" s="2" t="s">
        <v>47</v>
      </c>
      <c r="CU142" s="2"/>
      <c r="CV142" s="2" t="s">
        <v>487</v>
      </c>
      <c r="CW142" s="2"/>
      <c r="CX142" s="2"/>
    </row>
    <row r="143" ht="46" customHeight="1" spans="1:102">
      <c r="A143" s="2" t="s">
        <v>488</v>
      </c>
      <c r="B143" s="2">
        <v>143</v>
      </c>
      <c r="C143" s="2" t="s">
        <v>286</v>
      </c>
      <c r="D143" s="2">
        <v>1</v>
      </c>
      <c r="E143" s="2">
        <v>1</v>
      </c>
      <c r="F143" s="2">
        <v>597</v>
      </c>
      <c r="G143" s="2" t="s">
        <v>9</v>
      </c>
      <c r="H143" s="2" t="s">
        <v>24</v>
      </c>
      <c r="I143" s="2" t="s">
        <v>28</v>
      </c>
      <c r="J143" s="2" t="s">
        <v>34</v>
      </c>
      <c r="K143" s="2" t="s">
        <v>44</v>
      </c>
      <c r="L143" s="2">
        <v>1</v>
      </c>
      <c r="M143" s="2" t="s">
        <v>45</v>
      </c>
      <c r="N143" s="2" t="s">
        <v>287</v>
      </c>
      <c r="O143" s="2">
        <v>0</v>
      </c>
      <c r="P143" s="2" t="s">
        <v>344</v>
      </c>
      <c r="Q143" s="2">
        <v>0</v>
      </c>
      <c r="R143" s="2">
        <v>0</v>
      </c>
      <c r="S143" s="2">
        <v>1</v>
      </c>
      <c r="T143" s="2">
        <v>1</v>
      </c>
      <c r="U143" s="2">
        <v>0</v>
      </c>
      <c r="V143" s="2" t="s">
        <v>289</v>
      </c>
      <c r="W143" s="2" t="s">
        <v>290</v>
      </c>
      <c r="X143" s="2" t="s">
        <v>83</v>
      </c>
      <c r="Y143" s="2">
        <v>1</v>
      </c>
      <c r="Z143" s="2">
        <v>1</v>
      </c>
      <c r="AA143" s="2">
        <v>0</v>
      </c>
      <c r="AB143" s="2">
        <v>0</v>
      </c>
      <c r="AC143" s="2">
        <v>0</v>
      </c>
      <c r="AD143" s="2">
        <v>1</v>
      </c>
      <c r="AE143" s="2">
        <v>0</v>
      </c>
      <c r="AF143" s="2">
        <v>0</v>
      </c>
      <c r="AG143" s="2">
        <v>1</v>
      </c>
      <c r="AH143" s="2">
        <v>0</v>
      </c>
      <c r="AI143" s="2">
        <v>1</v>
      </c>
      <c r="AJ143" s="2">
        <v>0</v>
      </c>
      <c r="AK143" s="2">
        <v>1</v>
      </c>
      <c r="AL143" s="2">
        <v>0</v>
      </c>
      <c r="AM143" s="2">
        <v>0</v>
      </c>
      <c r="AN143" s="2">
        <v>0</v>
      </c>
      <c r="AO143" s="2">
        <v>0</v>
      </c>
      <c r="AP143" s="2">
        <v>1</v>
      </c>
      <c r="AQ143" s="2">
        <v>0</v>
      </c>
      <c r="AR143" s="2"/>
      <c r="AS143" s="2"/>
      <c r="AT143" s="2"/>
      <c r="AU143" s="2"/>
      <c r="AV143" s="2"/>
      <c r="AW143" s="2"/>
      <c r="AX143" s="2">
        <v>1</v>
      </c>
      <c r="AY143" s="2">
        <v>1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1</v>
      </c>
      <c r="BG143" s="2">
        <v>1</v>
      </c>
      <c r="BH143" s="2">
        <v>1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1</v>
      </c>
      <c r="BQ143" s="2">
        <v>0</v>
      </c>
      <c r="BR143" s="2">
        <v>0</v>
      </c>
      <c r="BS143" s="2">
        <v>0</v>
      </c>
      <c r="BT143" s="2">
        <v>1</v>
      </c>
      <c r="BU143" s="2">
        <v>1</v>
      </c>
      <c r="BV143" s="2">
        <v>1</v>
      </c>
      <c r="BW143" s="2">
        <v>0</v>
      </c>
      <c r="BX143" s="2">
        <v>1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ht="46" customHeight="1" spans="1:102">
      <c r="A144" s="2" t="s">
        <v>489</v>
      </c>
      <c r="B144" s="2">
        <v>144</v>
      </c>
      <c r="C144" s="2" t="s">
        <v>286</v>
      </c>
      <c r="D144" s="2">
        <v>1</v>
      </c>
      <c r="E144" s="2">
        <v>1</v>
      </c>
      <c r="F144" s="2">
        <v>454</v>
      </c>
      <c r="G144" s="2" t="s">
        <v>9</v>
      </c>
      <c r="H144" s="2" t="s">
        <v>24</v>
      </c>
      <c r="I144" s="2" t="s">
        <v>28</v>
      </c>
      <c r="J144" s="2" t="s">
        <v>37</v>
      </c>
      <c r="K144" s="2" t="s">
        <v>44</v>
      </c>
      <c r="L144" s="2">
        <v>1</v>
      </c>
      <c r="M144" s="2" t="s">
        <v>43</v>
      </c>
      <c r="N144" s="2" t="s">
        <v>287</v>
      </c>
      <c r="O144" s="2">
        <v>0</v>
      </c>
      <c r="P144" s="2" t="s">
        <v>288</v>
      </c>
      <c r="Q144" s="2">
        <v>0</v>
      </c>
      <c r="R144" s="2">
        <v>0</v>
      </c>
      <c r="S144" s="2">
        <v>0</v>
      </c>
      <c r="T144" s="2">
        <v>1</v>
      </c>
      <c r="U144" s="2">
        <v>1</v>
      </c>
      <c r="V144" s="2" t="s">
        <v>293</v>
      </c>
      <c r="W144" s="2" t="s">
        <v>290</v>
      </c>
      <c r="X144" s="2" t="s">
        <v>84</v>
      </c>
      <c r="Y144" s="2">
        <v>1</v>
      </c>
      <c r="Z144" s="2">
        <v>1</v>
      </c>
      <c r="AA144" s="2">
        <v>0</v>
      </c>
      <c r="AB144" s="2">
        <v>1</v>
      </c>
      <c r="AC144" s="2">
        <v>0</v>
      </c>
      <c r="AD144" s="2">
        <v>1</v>
      </c>
      <c r="AE144" s="2">
        <v>0</v>
      </c>
      <c r="AF144" s="2">
        <v>0</v>
      </c>
      <c r="AG144" s="2">
        <v>1</v>
      </c>
      <c r="AH144" s="2">
        <v>1</v>
      </c>
      <c r="AI144" s="2">
        <v>0</v>
      </c>
      <c r="AJ144" s="2">
        <v>0</v>
      </c>
      <c r="AK144" s="2">
        <v>1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</v>
      </c>
      <c r="AR144" s="2">
        <v>0</v>
      </c>
      <c r="AS144" s="2">
        <v>0</v>
      </c>
      <c r="AT144" s="2">
        <v>1</v>
      </c>
      <c r="AU144" s="2">
        <v>1</v>
      </c>
      <c r="AV144" s="2">
        <v>0</v>
      </c>
      <c r="AW144" s="2">
        <v>0</v>
      </c>
      <c r="AX144" s="2">
        <v>1</v>
      </c>
      <c r="AY144" s="2">
        <v>0</v>
      </c>
      <c r="AZ144" s="2">
        <v>0</v>
      </c>
      <c r="BA144" s="2">
        <v>1</v>
      </c>
      <c r="BB144" s="2">
        <v>0</v>
      </c>
      <c r="BC144" s="2">
        <v>0</v>
      </c>
      <c r="BD144" s="2">
        <v>1</v>
      </c>
      <c r="BE144" s="2">
        <v>0</v>
      </c>
      <c r="BF144" s="2">
        <v>1</v>
      </c>
      <c r="BG144" s="2">
        <v>0</v>
      </c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>
        <v>1</v>
      </c>
      <c r="BV144" s="2">
        <v>1</v>
      </c>
      <c r="BW144" s="2">
        <v>0</v>
      </c>
      <c r="BX144" s="2">
        <v>1</v>
      </c>
      <c r="BY144" s="2">
        <v>0</v>
      </c>
      <c r="BZ144" s="2">
        <v>0</v>
      </c>
      <c r="CA144" s="2">
        <v>0</v>
      </c>
      <c r="CB144" s="2">
        <v>1</v>
      </c>
      <c r="CC144" s="2">
        <v>1</v>
      </c>
      <c r="CD144" s="2">
        <v>0</v>
      </c>
      <c r="CE144" s="2">
        <v>0</v>
      </c>
      <c r="CF144" s="2">
        <v>0</v>
      </c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>
        <v>4</v>
      </c>
      <c r="CR144" s="2" t="s">
        <v>145</v>
      </c>
      <c r="CS144" s="2">
        <v>1</v>
      </c>
      <c r="CT144" s="2" t="s">
        <v>141</v>
      </c>
      <c r="CU144" s="2">
        <v>4</v>
      </c>
      <c r="CV144" s="2" t="s">
        <v>145</v>
      </c>
      <c r="CW144" s="2">
        <v>3</v>
      </c>
      <c r="CX144" s="2" t="s">
        <v>47</v>
      </c>
    </row>
    <row r="145" ht="46" customHeight="1" spans="1:102">
      <c r="A145" s="2" t="s">
        <v>490</v>
      </c>
      <c r="B145" s="2">
        <v>145</v>
      </c>
      <c r="C145" s="2" t="s">
        <v>6</v>
      </c>
      <c r="D145" s="2">
        <v>0</v>
      </c>
      <c r="E145" s="2">
        <v>0</v>
      </c>
      <c r="F145" s="2">
        <v>59</v>
      </c>
      <c r="G145" s="2" t="s">
        <v>491</v>
      </c>
      <c r="H145" s="2" t="s">
        <v>325</v>
      </c>
      <c r="I145" s="2" t="s">
        <v>325</v>
      </c>
      <c r="J145" s="2" t="s">
        <v>325</v>
      </c>
      <c r="K145" s="2" t="s">
        <v>325</v>
      </c>
      <c r="L145" s="2"/>
      <c r="M145" s="2" t="s">
        <v>325</v>
      </c>
      <c r="N145" s="2" t="s">
        <v>85</v>
      </c>
      <c r="O145" s="2">
        <v>0</v>
      </c>
      <c r="P145" s="2" t="s">
        <v>314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 t="s">
        <v>325</v>
      </c>
      <c r="W145" s="2" t="s">
        <v>325</v>
      </c>
      <c r="X145" s="2" t="s">
        <v>85</v>
      </c>
      <c r="Y145" s="2">
        <v>0</v>
      </c>
      <c r="Z145" s="2"/>
      <c r="AA145" s="2"/>
      <c r="AB145" s="2"/>
      <c r="AC145" s="2"/>
      <c r="AD145" s="2"/>
      <c r="AE145" s="2"/>
      <c r="AF145" s="2"/>
      <c r="AG145" s="2">
        <v>0</v>
      </c>
      <c r="AH145" s="2"/>
      <c r="AI145" s="2"/>
      <c r="AJ145" s="2"/>
      <c r="AK145" s="2"/>
      <c r="AL145" s="2"/>
      <c r="AM145" s="2"/>
      <c r="AN145" s="2"/>
      <c r="AO145" s="2"/>
      <c r="AP145" s="2"/>
      <c r="AQ145" s="2">
        <v>0</v>
      </c>
      <c r="AR145" s="2"/>
      <c r="AS145" s="2"/>
      <c r="AT145" s="2"/>
      <c r="AU145" s="2"/>
      <c r="AV145" s="2"/>
      <c r="AW145" s="2"/>
      <c r="AX145" s="2">
        <v>0</v>
      </c>
      <c r="AY145" s="2"/>
      <c r="AZ145" s="2"/>
      <c r="BA145" s="2"/>
      <c r="BB145" s="2"/>
      <c r="BC145" s="2"/>
      <c r="BD145" s="2"/>
      <c r="BE145" s="2"/>
      <c r="BF145" s="2"/>
      <c r="BG145" s="2">
        <v>0</v>
      </c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>
        <v>0</v>
      </c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>
        <v>0</v>
      </c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ht="46" customHeight="1" spans="1:102">
      <c r="A146" s="2" t="s">
        <v>492</v>
      </c>
      <c r="B146" s="2">
        <v>146</v>
      </c>
      <c r="C146" s="2" t="s">
        <v>286</v>
      </c>
      <c r="D146" s="2">
        <v>1</v>
      </c>
      <c r="E146" s="2">
        <v>1</v>
      </c>
      <c r="F146" s="2">
        <v>419</v>
      </c>
      <c r="G146" s="2" t="s">
        <v>9</v>
      </c>
      <c r="H146" s="2" t="s">
        <v>23</v>
      </c>
      <c r="I146" s="2" t="s">
        <v>28</v>
      </c>
      <c r="J146" s="2" t="s">
        <v>36</v>
      </c>
      <c r="K146" s="2" t="s">
        <v>44</v>
      </c>
      <c r="L146" s="2">
        <v>1</v>
      </c>
      <c r="M146" s="2" t="s">
        <v>43</v>
      </c>
      <c r="N146" s="2" t="s">
        <v>287</v>
      </c>
      <c r="O146" s="2">
        <v>0</v>
      </c>
      <c r="P146" s="2" t="s">
        <v>288</v>
      </c>
      <c r="Q146" s="2">
        <v>0</v>
      </c>
      <c r="R146" s="2">
        <v>0</v>
      </c>
      <c r="S146" s="2">
        <v>0</v>
      </c>
      <c r="T146" s="2">
        <v>1</v>
      </c>
      <c r="U146" s="2">
        <v>1</v>
      </c>
      <c r="V146" s="2" t="s">
        <v>293</v>
      </c>
      <c r="W146" s="2" t="s">
        <v>290</v>
      </c>
      <c r="X146" s="2" t="s">
        <v>84</v>
      </c>
      <c r="Y146" s="2">
        <v>1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1</v>
      </c>
      <c r="AF146" s="2">
        <v>0</v>
      </c>
      <c r="AG146" s="2">
        <v>1</v>
      </c>
      <c r="AH146" s="2">
        <v>1</v>
      </c>
      <c r="AI146" s="2">
        <v>0</v>
      </c>
      <c r="AJ146" s="2">
        <v>0</v>
      </c>
      <c r="AK146" s="2">
        <v>1</v>
      </c>
      <c r="AL146" s="2">
        <v>0</v>
      </c>
      <c r="AM146" s="2">
        <v>1</v>
      </c>
      <c r="AN146" s="2">
        <v>0</v>
      </c>
      <c r="AO146" s="2">
        <v>0</v>
      </c>
      <c r="AP146" s="2">
        <v>0</v>
      </c>
      <c r="AQ146" s="2">
        <v>1</v>
      </c>
      <c r="AR146" s="2">
        <v>1</v>
      </c>
      <c r="AS146" s="2">
        <v>0</v>
      </c>
      <c r="AT146" s="2">
        <v>1</v>
      </c>
      <c r="AU146" s="2">
        <v>0</v>
      </c>
      <c r="AV146" s="2">
        <v>0</v>
      </c>
      <c r="AW146" s="2">
        <v>0</v>
      </c>
      <c r="AX146" s="2">
        <v>1</v>
      </c>
      <c r="AY146" s="2">
        <v>1</v>
      </c>
      <c r="AZ146" s="2">
        <v>0</v>
      </c>
      <c r="BA146" s="2">
        <v>0</v>
      </c>
      <c r="BB146" s="2">
        <v>0</v>
      </c>
      <c r="BC146" s="2">
        <v>1</v>
      </c>
      <c r="BD146" s="2">
        <v>0</v>
      </c>
      <c r="BE146" s="2">
        <v>0</v>
      </c>
      <c r="BF146" s="2">
        <v>1</v>
      </c>
      <c r="BG146" s="2">
        <v>0</v>
      </c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>
        <v>1</v>
      </c>
      <c r="BV146" s="2">
        <v>0</v>
      </c>
      <c r="BW146" s="2">
        <v>1</v>
      </c>
      <c r="BX146" s="2">
        <v>1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>
        <v>5</v>
      </c>
      <c r="CR146" s="2" t="s">
        <v>146</v>
      </c>
      <c r="CS146" s="2">
        <v>3</v>
      </c>
      <c r="CT146" s="2" t="s">
        <v>47</v>
      </c>
      <c r="CU146" s="2">
        <v>4</v>
      </c>
      <c r="CV146" s="2" t="s">
        <v>145</v>
      </c>
      <c r="CW146" s="2">
        <v>1</v>
      </c>
      <c r="CX146" s="2" t="s">
        <v>141</v>
      </c>
    </row>
    <row r="147" ht="46" customHeight="1" spans="1:102">
      <c r="A147" s="2" t="s">
        <v>493</v>
      </c>
      <c r="B147" s="2">
        <v>147</v>
      </c>
      <c r="C147" s="2" t="s">
        <v>286</v>
      </c>
      <c r="D147" s="2">
        <v>1</v>
      </c>
      <c r="E147" s="2">
        <v>1</v>
      </c>
      <c r="F147" s="2">
        <v>418</v>
      </c>
      <c r="G147" s="2" t="s">
        <v>11</v>
      </c>
      <c r="H147" s="2" t="s">
        <v>24</v>
      </c>
      <c r="I147" s="2" t="s">
        <v>28</v>
      </c>
      <c r="J147" s="2" t="s">
        <v>36</v>
      </c>
      <c r="K147" s="2" t="s">
        <v>44</v>
      </c>
      <c r="L147" s="2">
        <v>1</v>
      </c>
      <c r="M147" s="2" t="s">
        <v>43</v>
      </c>
      <c r="N147" s="2" t="s">
        <v>287</v>
      </c>
      <c r="O147" s="2">
        <v>0</v>
      </c>
      <c r="P147" s="2" t="s">
        <v>288</v>
      </c>
      <c r="Q147" s="2">
        <v>0</v>
      </c>
      <c r="R147" s="2">
        <v>0</v>
      </c>
      <c r="S147" s="2">
        <v>0</v>
      </c>
      <c r="T147" s="2">
        <v>1</v>
      </c>
      <c r="U147" s="2">
        <v>1</v>
      </c>
      <c r="V147" s="2" t="s">
        <v>293</v>
      </c>
      <c r="W147" s="2" t="s">
        <v>290</v>
      </c>
      <c r="X147" s="2" t="s">
        <v>84</v>
      </c>
      <c r="Y147" s="2">
        <v>1</v>
      </c>
      <c r="Z147" s="2">
        <v>1</v>
      </c>
      <c r="AA147" s="2">
        <v>0</v>
      </c>
      <c r="AB147" s="2">
        <v>1</v>
      </c>
      <c r="AC147" s="2">
        <v>0</v>
      </c>
      <c r="AD147" s="2">
        <v>0</v>
      </c>
      <c r="AE147" s="2">
        <v>1</v>
      </c>
      <c r="AF147" s="2">
        <v>0</v>
      </c>
      <c r="AG147" s="2">
        <v>1</v>
      </c>
      <c r="AH147" s="2">
        <v>0</v>
      </c>
      <c r="AI147" s="2">
        <v>1</v>
      </c>
      <c r="AJ147" s="2">
        <v>0</v>
      </c>
      <c r="AK147" s="2">
        <v>0</v>
      </c>
      <c r="AL147" s="2">
        <v>0</v>
      </c>
      <c r="AM147" s="2">
        <v>1</v>
      </c>
      <c r="AN147" s="2">
        <v>0</v>
      </c>
      <c r="AO147" s="2">
        <v>0</v>
      </c>
      <c r="AP147" s="2">
        <v>1</v>
      </c>
      <c r="AQ147" s="2">
        <v>1</v>
      </c>
      <c r="AR147" s="2">
        <v>0</v>
      </c>
      <c r="AS147" s="2">
        <v>0</v>
      </c>
      <c r="AT147" s="2">
        <v>1</v>
      </c>
      <c r="AU147" s="2">
        <v>1</v>
      </c>
      <c r="AV147" s="2">
        <v>0</v>
      </c>
      <c r="AW147" s="2">
        <v>0</v>
      </c>
      <c r="AX147" s="2">
        <v>1</v>
      </c>
      <c r="AY147" s="2">
        <v>0</v>
      </c>
      <c r="AZ147" s="2">
        <v>1</v>
      </c>
      <c r="BA147" s="2">
        <v>1</v>
      </c>
      <c r="BB147" s="2">
        <v>0</v>
      </c>
      <c r="BC147" s="2">
        <v>1</v>
      </c>
      <c r="BD147" s="2">
        <v>0</v>
      </c>
      <c r="BE147" s="2">
        <v>0</v>
      </c>
      <c r="BF147" s="2">
        <v>1</v>
      </c>
      <c r="BG147" s="2">
        <v>0</v>
      </c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>
        <v>1</v>
      </c>
      <c r="BV147" s="2">
        <v>0</v>
      </c>
      <c r="BW147" s="2">
        <v>0</v>
      </c>
      <c r="BX147" s="2">
        <v>1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1</v>
      </c>
      <c r="CE147" s="2">
        <v>0</v>
      </c>
      <c r="CF147" s="2">
        <v>0</v>
      </c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>
        <v>5</v>
      </c>
      <c r="CR147" s="2" t="s">
        <v>146</v>
      </c>
      <c r="CS147" s="2">
        <v>4</v>
      </c>
      <c r="CT147" s="2" t="s">
        <v>145</v>
      </c>
      <c r="CU147" s="2">
        <v>3</v>
      </c>
      <c r="CV147" s="2" t="s">
        <v>47</v>
      </c>
      <c r="CW147" s="2">
        <v>2</v>
      </c>
      <c r="CX147" s="2" t="s">
        <v>143</v>
      </c>
    </row>
    <row r="148" ht="46" customHeight="1" spans="1:102">
      <c r="A148" s="2" t="s">
        <v>494</v>
      </c>
      <c r="B148" s="2">
        <v>148</v>
      </c>
      <c r="C148" s="2" t="s">
        <v>286</v>
      </c>
      <c r="D148" s="2">
        <v>1</v>
      </c>
      <c r="E148" s="2">
        <v>1</v>
      </c>
      <c r="F148" s="2">
        <v>316</v>
      </c>
      <c r="G148" s="2" t="s">
        <v>9</v>
      </c>
      <c r="H148" s="2" t="s">
        <v>24</v>
      </c>
      <c r="I148" s="2" t="s">
        <v>28</v>
      </c>
      <c r="J148" s="2" t="s">
        <v>34</v>
      </c>
      <c r="K148" s="2" t="s">
        <v>42</v>
      </c>
      <c r="L148" s="2">
        <v>1</v>
      </c>
      <c r="M148" s="2" t="s">
        <v>45</v>
      </c>
      <c r="N148" s="2" t="s">
        <v>287</v>
      </c>
      <c r="O148" s="2">
        <v>0</v>
      </c>
      <c r="P148" s="2" t="s">
        <v>301</v>
      </c>
      <c r="Q148" s="2">
        <v>0</v>
      </c>
      <c r="R148" s="2">
        <v>0</v>
      </c>
      <c r="S148" s="2">
        <v>0</v>
      </c>
      <c r="T148" s="2">
        <v>1</v>
      </c>
      <c r="U148" s="2">
        <v>0</v>
      </c>
      <c r="V148" s="2" t="s">
        <v>293</v>
      </c>
      <c r="W148" s="2" t="s">
        <v>319</v>
      </c>
      <c r="X148" s="2" t="s">
        <v>84</v>
      </c>
      <c r="Y148" s="2">
        <v>1</v>
      </c>
      <c r="Z148" s="2">
        <v>0</v>
      </c>
      <c r="AA148" s="2">
        <v>0</v>
      </c>
      <c r="AB148" s="2">
        <v>0</v>
      </c>
      <c r="AC148" s="2">
        <v>0</v>
      </c>
      <c r="AD148" s="2">
        <v>1</v>
      </c>
      <c r="AE148" s="2">
        <v>0</v>
      </c>
      <c r="AF148" s="2">
        <v>0</v>
      </c>
      <c r="AG148" s="2">
        <v>1</v>
      </c>
      <c r="AH148" s="2">
        <v>1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1</v>
      </c>
      <c r="AQ148" s="2">
        <v>0</v>
      </c>
      <c r="AR148" s="2"/>
      <c r="AS148" s="2"/>
      <c r="AT148" s="2"/>
      <c r="AU148" s="2"/>
      <c r="AV148" s="2"/>
      <c r="AW148" s="2"/>
      <c r="AX148" s="2">
        <v>1</v>
      </c>
      <c r="AY148" s="2">
        <v>1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1</v>
      </c>
      <c r="BG148" s="2">
        <v>1</v>
      </c>
      <c r="BH148" s="2">
        <v>0</v>
      </c>
      <c r="BI148" s="2">
        <v>0</v>
      </c>
      <c r="BJ148" s="2">
        <v>0</v>
      </c>
      <c r="BK148" s="2">
        <v>1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1</v>
      </c>
      <c r="BV148" s="2">
        <v>1</v>
      </c>
      <c r="BW148" s="2">
        <v>1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>
        <v>5</v>
      </c>
      <c r="CR148" s="2" t="s">
        <v>146</v>
      </c>
      <c r="CS148" s="2">
        <v>4</v>
      </c>
      <c r="CT148" s="2" t="s">
        <v>145</v>
      </c>
      <c r="CU148" s="2">
        <v>4</v>
      </c>
      <c r="CV148" s="2" t="s">
        <v>145</v>
      </c>
      <c r="CW148" s="2">
        <v>3</v>
      </c>
      <c r="CX148" s="2" t="s">
        <v>47</v>
      </c>
    </row>
    <row r="149" ht="46" customHeight="1" spans="1:102">
      <c r="A149" s="2" t="s">
        <v>495</v>
      </c>
      <c r="B149" s="2">
        <v>149</v>
      </c>
      <c r="C149" s="2" t="s">
        <v>286</v>
      </c>
      <c r="D149" s="2">
        <v>1</v>
      </c>
      <c r="E149" s="2">
        <v>1</v>
      </c>
      <c r="F149" s="2">
        <v>355</v>
      </c>
      <c r="G149" s="2" t="s">
        <v>11</v>
      </c>
      <c r="H149" s="2" t="s">
        <v>23</v>
      </c>
      <c r="I149" s="2" t="s">
        <v>28</v>
      </c>
      <c r="J149" s="2" t="s">
        <v>34</v>
      </c>
      <c r="K149" s="2" t="s">
        <v>44</v>
      </c>
      <c r="L149" s="2">
        <v>1</v>
      </c>
      <c r="M149" s="2" t="s">
        <v>45</v>
      </c>
      <c r="N149" s="2" t="s">
        <v>287</v>
      </c>
      <c r="O149" s="2">
        <v>0</v>
      </c>
      <c r="P149" s="2" t="s">
        <v>288</v>
      </c>
      <c r="Q149" s="2">
        <v>0</v>
      </c>
      <c r="R149" s="2">
        <v>0</v>
      </c>
      <c r="S149" s="2">
        <v>0</v>
      </c>
      <c r="T149" s="2">
        <v>1</v>
      </c>
      <c r="U149" s="2">
        <v>1</v>
      </c>
      <c r="V149" s="2" t="s">
        <v>289</v>
      </c>
      <c r="W149" s="2" t="s">
        <v>294</v>
      </c>
      <c r="X149" s="2" t="s">
        <v>83</v>
      </c>
      <c r="Y149" s="2">
        <v>1</v>
      </c>
      <c r="Z149" s="2">
        <v>1</v>
      </c>
      <c r="AA149" s="2">
        <v>0</v>
      </c>
      <c r="AB149" s="2">
        <v>1</v>
      </c>
      <c r="AC149" s="2">
        <v>0</v>
      </c>
      <c r="AD149" s="2">
        <v>0</v>
      </c>
      <c r="AE149" s="2">
        <v>0</v>
      </c>
      <c r="AF149" s="2">
        <v>0</v>
      </c>
      <c r="AG149" s="2">
        <v>1</v>
      </c>
      <c r="AH149" s="2">
        <v>1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1</v>
      </c>
      <c r="AQ149" s="2">
        <v>0</v>
      </c>
      <c r="AR149" s="2"/>
      <c r="AS149" s="2"/>
      <c r="AT149" s="2"/>
      <c r="AU149" s="2"/>
      <c r="AV149" s="2"/>
      <c r="AW149" s="2"/>
      <c r="AX149" s="2">
        <v>1</v>
      </c>
      <c r="AY149" s="2">
        <v>0</v>
      </c>
      <c r="AZ149" s="2">
        <v>1</v>
      </c>
      <c r="BA149" s="2">
        <v>1</v>
      </c>
      <c r="BB149" s="2">
        <v>0</v>
      </c>
      <c r="BC149" s="2">
        <v>0</v>
      </c>
      <c r="BD149" s="2">
        <v>0</v>
      </c>
      <c r="BE149" s="2">
        <v>0</v>
      </c>
      <c r="BF149" s="2">
        <v>1</v>
      </c>
      <c r="BG149" s="2">
        <v>0</v>
      </c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>
        <v>1</v>
      </c>
      <c r="BV149" s="2">
        <v>1</v>
      </c>
      <c r="BW149" s="2">
        <v>1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>
        <v>5</v>
      </c>
      <c r="CR149" s="2" t="s">
        <v>146</v>
      </c>
      <c r="CS149" s="2">
        <v>3</v>
      </c>
      <c r="CT149" s="2" t="s">
        <v>47</v>
      </c>
      <c r="CU149" s="2">
        <v>5</v>
      </c>
      <c r="CV149" s="2" t="s">
        <v>146</v>
      </c>
      <c r="CW149" s="2">
        <v>4</v>
      </c>
      <c r="CX149" s="2" t="s">
        <v>145</v>
      </c>
    </row>
    <row r="150" ht="46" customHeight="1" spans="1:102">
      <c r="A150" s="2" t="s">
        <v>496</v>
      </c>
      <c r="B150" s="2">
        <v>150</v>
      </c>
      <c r="C150" s="2" t="s">
        <v>286</v>
      </c>
      <c r="D150" s="2">
        <v>1</v>
      </c>
      <c r="E150" s="2">
        <v>1</v>
      </c>
      <c r="F150" s="2">
        <v>520</v>
      </c>
      <c r="G150" s="2" t="s">
        <v>9</v>
      </c>
      <c r="H150" s="2" t="s">
        <v>24</v>
      </c>
      <c r="I150" s="2" t="s">
        <v>28</v>
      </c>
      <c r="J150" s="2" t="s">
        <v>35</v>
      </c>
      <c r="K150" s="2" t="s">
        <v>48</v>
      </c>
      <c r="L150" s="2">
        <v>1</v>
      </c>
      <c r="M150" s="2" t="s">
        <v>45</v>
      </c>
      <c r="N150" s="2" t="s">
        <v>287</v>
      </c>
      <c r="O150" s="2">
        <v>0</v>
      </c>
      <c r="P150" s="2" t="s">
        <v>301</v>
      </c>
      <c r="Q150" s="2">
        <v>0</v>
      </c>
      <c r="R150" s="2">
        <v>0</v>
      </c>
      <c r="S150" s="2">
        <v>0</v>
      </c>
      <c r="T150" s="2">
        <v>1</v>
      </c>
      <c r="U150" s="2">
        <v>0</v>
      </c>
      <c r="V150" s="2" t="s">
        <v>293</v>
      </c>
      <c r="W150" s="2" t="s">
        <v>319</v>
      </c>
      <c r="X150" s="2" t="s">
        <v>84</v>
      </c>
      <c r="Y150" s="2">
        <v>1</v>
      </c>
      <c r="Z150" s="2">
        <v>0</v>
      </c>
      <c r="AA150" s="2">
        <v>0</v>
      </c>
      <c r="AB150" s="2">
        <v>1</v>
      </c>
      <c r="AC150" s="2">
        <v>0</v>
      </c>
      <c r="AD150" s="2">
        <v>1</v>
      </c>
      <c r="AE150" s="2">
        <v>0</v>
      </c>
      <c r="AF150" s="2">
        <v>0</v>
      </c>
      <c r="AG150" s="2">
        <v>1</v>
      </c>
      <c r="AH150" s="2">
        <v>0</v>
      </c>
      <c r="AI150" s="2">
        <v>0</v>
      </c>
      <c r="AJ150" s="2">
        <v>1</v>
      </c>
      <c r="AK150" s="2">
        <v>0</v>
      </c>
      <c r="AL150" s="2">
        <v>0</v>
      </c>
      <c r="AM150" s="2">
        <v>1</v>
      </c>
      <c r="AN150" s="2">
        <v>0</v>
      </c>
      <c r="AO150" s="2">
        <v>0</v>
      </c>
      <c r="AP150" s="2">
        <v>0</v>
      </c>
      <c r="AQ150" s="2">
        <v>0</v>
      </c>
      <c r="AR150" s="2"/>
      <c r="AS150" s="2"/>
      <c r="AT150" s="2"/>
      <c r="AU150" s="2"/>
      <c r="AV150" s="2"/>
      <c r="AW150" s="2"/>
      <c r="AX150" s="2">
        <v>1</v>
      </c>
      <c r="AY150" s="2">
        <v>0</v>
      </c>
      <c r="AZ150" s="2">
        <v>0</v>
      </c>
      <c r="BA150" s="2">
        <v>0</v>
      </c>
      <c r="BB150" s="2">
        <v>0</v>
      </c>
      <c r="BC150" s="2">
        <v>1</v>
      </c>
      <c r="BD150" s="2">
        <v>1</v>
      </c>
      <c r="BE150" s="2">
        <v>0</v>
      </c>
      <c r="BF150" s="2">
        <v>0</v>
      </c>
      <c r="BG150" s="2">
        <v>1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1</v>
      </c>
      <c r="BO150" s="2">
        <v>0</v>
      </c>
      <c r="BP150" s="2">
        <v>0</v>
      </c>
      <c r="BQ150" s="2">
        <v>1</v>
      </c>
      <c r="BR150" s="2">
        <v>0</v>
      </c>
      <c r="BS150" s="2">
        <v>0</v>
      </c>
      <c r="BT150" s="2">
        <v>0</v>
      </c>
      <c r="BU150" s="2">
        <v>1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1</v>
      </c>
      <c r="CB150" s="2">
        <v>0</v>
      </c>
      <c r="CC150" s="2">
        <v>0</v>
      </c>
      <c r="CD150" s="2">
        <v>1</v>
      </c>
      <c r="CE150" s="2">
        <v>0</v>
      </c>
      <c r="CF150" s="2">
        <v>0</v>
      </c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>
        <v>4</v>
      </c>
      <c r="CR150" s="2" t="s">
        <v>145</v>
      </c>
      <c r="CS150" s="2">
        <v>3</v>
      </c>
      <c r="CT150" s="2" t="s">
        <v>47</v>
      </c>
      <c r="CU150" s="2">
        <v>5</v>
      </c>
      <c r="CV150" s="2" t="s">
        <v>146</v>
      </c>
      <c r="CW150" s="2">
        <v>4</v>
      </c>
      <c r="CX150" s="2" t="s">
        <v>145</v>
      </c>
    </row>
    <row r="151" ht="46" customHeight="1" spans="1:102">
      <c r="A151" s="2" t="s">
        <v>497</v>
      </c>
      <c r="B151" s="2">
        <v>151</v>
      </c>
      <c r="C151" s="2" t="s">
        <v>286</v>
      </c>
      <c r="D151" s="2">
        <v>1</v>
      </c>
      <c r="E151" s="2">
        <v>1</v>
      </c>
      <c r="F151" s="2">
        <v>348</v>
      </c>
      <c r="G151" s="2" t="s">
        <v>9</v>
      </c>
      <c r="H151" s="2" t="s">
        <v>24</v>
      </c>
      <c r="I151" s="2" t="s">
        <v>31</v>
      </c>
      <c r="J151" s="2" t="s">
        <v>37</v>
      </c>
      <c r="K151" s="2" t="s">
        <v>42</v>
      </c>
      <c r="L151" s="2">
        <v>1</v>
      </c>
      <c r="M151" s="2" t="s">
        <v>43</v>
      </c>
      <c r="N151" s="2" t="s">
        <v>85</v>
      </c>
      <c r="O151" s="2">
        <v>0</v>
      </c>
      <c r="P151" s="2" t="s">
        <v>288</v>
      </c>
      <c r="Q151" s="2">
        <v>0</v>
      </c>
      <c r="R151" s="2">
        <v>0</v>
      </c>
      <c r="S151" s="2">
        <v>0</v>
      </c>
      <c r="T151" s="2">
        <v>1</v>
      </c>
      <c r="U151" s="2">
        <v>1</v>
      </c>
      <c r="V151" s="2" t="s">
        <v>289</v>
      </c>
      <c r="W151" s="2" t="s">
        <v>299</v>
      </c>
      <c r="X151" s="2" t="s">
        <v>85</v>
      </c>
      <c r="Y151" s="2">
        <v>1</v>
      </c>
      <c r="Z151" s="2">
        <v>1</v>
      </c>
      <c r="AA151" s="2">
        <v>0</v>
      </c>
      <c r="AB151" s="2">
        <v>0</v>
      </c>
      <c r="AC151" s="2">
        <v>0</v>
      </c>
      <c r="AD151" s="2">
        <v>1</v>
      </c>
      <c r="AE151" s="2">
        <v>0</v>
      </c>
      <c r="AF151" s="2">
        <v>0</v>
      </c>
      <c r="AG151" s="2">
        <v>1</v>
      </c>
      <c r="AH151" s="2">
        <v>1</v>
      </c>
      <c r="AI151" s="2">
        <v>0</v>
      </c>
      <c r="AJ151" s="2">
        <v>1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1</v>
      </c>
      <c r="AR151" s="2">
        <v>0</v>
      </c>
      <c r="AS151" s="2">
        <v>0</v>
      </c>
      <c r="AT151" s="2">
        <v>1</v>
      </c>
      <c r="AU151" s="2">
        <v>0</v>
      </c>
      <c r="AV151" s="2">
        <v>0</v>
      </c>
      <c r="AW151" s="2">
        <v>1</v>
      </c>
      <c r="AX151" s="2">
        <v>0</v>
      </c>
      <c r="AY151" s="2"/>
      <c r="AZ151" s="2"/>
      <c r="BA151" s="2"/>
      <c r="BB151" s="2"/>
      <c r="BC151" s="2"/>
      <c r="BD151" s="2"/>
      <c r="BE151" s="2"/>
      <c r="BF151" s="2"/>
      <c r="BG151" s="2">
        <v>0</v>
      </c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>
        <v>1</v>
      </c>
      <c r="BV151" s="2">
        <v>1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1</v>
      </c>
      <c r="CD151" s="2">
        <v>0</v>
      </c>
      <c r="CE151" s="2">
        <v>0</v>
      </c>
      <c r="CF151" s="2">
        <v>0</v>
      </c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>
        <v>3</v>
      </c>
      <c r="CR151" s="2" t="s">
        <v>47</v>
      </c>
      <c r="CS151" s="2">
        <v>3</v>
      </c>
      <c r="CT151" s="2" t="s">
        <v>47</v>
      </c>
      <c r="CU151" s="2">
        <v>1</v>
      </c>
      <c r="CV151" s="2" t="s">
        <v>141</v>
      </c>
      <c r="CW151" s="2">
        <v>97</v>
      </c>
      <c r="CX151" s="2" t="s">
        <v>147</v>
      </c>
    </row>
    <row r="152" ht="46" customHeight="1" spans="1:102">
      <c r="A152" s="2" t="s">
        <v>498</v>
      </c>
      <c r="B152" s="2">
        <v>152</v>
      </c>
      <c r="C152" s="2" t="s">
        <v>286</v>
      </c>
      <c r="D152" s="2">
        <v>1</v>
      </c>
      <c r="E152" s="2">
        <v>1</v>
      </c>
      <c r="F152" s="2">
        <v>461</v>
      </c>
      <c r="G152" s="2" t="s">
        <v>9</v>
      </c>
      <c r="H152" s="2" t="s">
        <v>23</v>
      </c>
      <c r="I152" s="2" t="s">
        <v>28</v>
      </c>
      <c r="J152" s="2" t="s">
        <v>35</v>
      </c>
      <c r="K152" s="2" t="s">
        <v>42</v>
      </c>
      <c r="L152" s="2">
        <v>1</v>
      </c>
      <c r="M152" s="2" t="s">
        <v>45</v>
      </c>
      <c r="N152" s="2" t="s">
        <v>287</v>
      </c>
      <c r="O152" s="2">
        <v>0</v>
      </c>
      <c r="P152" s="2" t="s">
        <v>314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 t="s">
        <v>289</v>
      </c>
      <c r="W152" s="2" t="s">
        <v>294</v>
      </c>
      <c r="X152" s="2" t="s">
        <v>83</v>
      </c>
      <c r="Y152" s="2">
        <v>1</v>
      </c>
      <c r="Z152" s="2">
        <v>0</v>
      </c>
      <c r="AA152" s="2">
        <v>0</v>
      </c>
      <c r="AB152" s="2">
        <v>0</v>
      </c>
      <c r="AC152" s="2">
        <v>1</v>
      </c>
      <c r="AD152" s="2">
        <v>0</v>
      </c>
      <c r="AE152" s="2">
        <v>0</v>
      </c>
      <c r="AF152" s="2">
        <v>0</v>
      </c>
      <c r="AG152" s="2">
        <v>1</v>
      </c>
      <c r="AH152" s="2">
        <v>0</v>
      </c>
      <c r="AI152" s="2">
        <v>1</v>
      </c>
      <c r="AJ152" s="2">
        <v>0</v>
      </c>
      <c r="AK152" s="2">
        <v>1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/>
      <c r="AS152" s="2"/>
      <c r="AT152" s="2"/>
      <c r="AU152" s="2"/>
      <c r="AV152" s="2"/>
      <c r="AW152" s="2"/>
      <c r="AX152" s="2">
        <v>1</v>
      </c>
      <c r="AY152" s="2">
        <v>0</v>
      </c>
      <c r="AZ152" s="2">
        <v>1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1</v>
      </c>
      <c r="BG152" s="2">
        <v>1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1</v>
      </c>
      <c r="BT152" s="2">
        <v>1</v>
      </c>
      <c r="BU152" s="2">
        <v>1</v>
      </c>
      <c r="BV152" s="2">
        <v>0</v>
      </c>
      <c r="BW152" s="2">
        <v>1</v>
      </c>
      <c r="BX152" s="2">
        <v>1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1</v>
      </c>
      <c r="CE152" s="2">
        <v>0</v>
      </c>
      <c r="CF152" s="2">
        <v>1</v>
      </c>
      <c r="CG152" s="2">
        <v>0</v>
      </c>
      <c r="CH152" s="2">
        <v>0</v>
      </c>
      <c r="CI152" s="2">
        <v>1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5</v>
      </c>
      <c r="CR152" s="2" t="s">
        <v>146</v>
      </c>
      <c r="CS152" s="2">
        <v>5</v>
      </c>
      <c r="CT152" s="2" t="s">
        <v>146</v>
      </c>
      <c r="CU152" s="2"/>
      <c r="CV152" s="2"/>
      <c r="CW152" s="2"/>
      <c r="CX152" s="2"/>
    </row>
    <row r="153" ht="46" customHeight="1" spans="1:102">
      <c r="A153" s="2" t="s">
        <v>499</v>
      </c>
      <c r="B153" s="2">
        <v>153</v>
      </c>
      <c r="C153" s="2" t="s">
        <v>286</v>
      </c>
      <c r="D153" s="2">
        <v>1</v>
      </c>
      <c r="E153" s="2">
        <v>1</v>
      </c>
      <c r="F153" s="2">
        <v>674</v>
      </c>
      <c r="G153" s="2" t="s">
        <v>7</v>
      </c>
      <c r="H153" s="2" t="s">
        <v>24</v>
      </c>
      <c r="I153" s="2" t="s">
        <v>28</v>
      </c>
      <c r="J153" s="2" t="s">
        <v>37</v>
      </c>
      <c r="K153" s="2" t="s">
        <v>42</v>
      </c>
      <c r="L153" s="2">
        <v>1</v>
      </c>
      <c r="M153" s="2" t="s">
        <v>45</v>
      </c>
      <c r="N153" s="2" t="s">
        <v>287</v>
      </c>
      <c r="O153" s="2">
        <v>0</v>
      </c>
      <c r="P153" s="2" t="s">
        <v>301</v>
      </c>
      <c r="Q153" s="2">
        <v>0</v>
      </c>
      <c r="R153" s="2">
        <v>0</v>
      </c>
      <c r="S153" s="2">
        <v>0</v>
      </c>
      <c r="T153" s="2">
        <v>1</v>
      </c>
      <c r="U153" s="2">
        <v>0</v>
      </c>
      <c r="V153" s="2" t="s">
        <v>289</v>
      </c>
      <c r="W153" s="2" t="s">
        <v>319</v>
      </c>
      <c r="X153" s="2" t="s">
        <v>83</v>
      </c>
      <c r="Y153" s="2">
        <v>1</v>
      </c>
      <c r="Z153" s="2">
        <v>0</v>
      </c>
      <c r="AA153" s="2">
        <v>0</v>
      </c>
      <c r="AB153" s="2">
        <v>0</v>
      </c>
      <c r="AC153" s="2">
        <v>0</v>
      </c>
      <c r="AD153" s="2">
        <v>1</v>
      </c>
      <c r="AE153" s="2">
        <v>1</v>
      </c>
      <c r="AF153" s="2">
        <v>0</v>
      </c>
      <c r="AG153" s="2">
        <v>1</v>
      </c>
      <c r="AH153" s="2">
        <v>0</v>
      </c>
      <c r="AI153" s="2">
        <v>1</v>
      </c>
      <c r="AJ153" s="2">
        <v>0</v>
      </c>
      <c r="AK153" s="2">
        <v>1</v>
      </c>
      <c r="AL153" s="2">
        <v>0</v>
      </c>
      <c r="AM153" s="2">
        <v>0</v>
      </c>
      <c r="AN153" s="2">
        <v>1</v>
      </c>
      <c r="AO153" s="2">
        <v>0</v>
      </c>
      <c r="AP153" s="2">
        <v>0</v>
      </c>
      <c r="AQ153" s="2">
        <v>0</v>
      </c>
      <c r="AR153" s="2"/>
      <c r="AS153" s="2"/>
      <c r="AT153" s="2"/>
      <c r="AU153" s="2"/>
      <c r="AV153" s="2"/>
      <c r="AW153" s="2"/>
      <c r="AX153" s="2">
        <v>1</v>
      </c>
      <c r="AY153" s="2">
        <v>1</v>
      </c>
      <c r="AZ153" s="2">
        <v>0</v>
      </c>
      <c r="BA153" s="2">
        <v>0</v>
      </c>
      <c r="BB153" s="2">
        <v>0</v>
      </c>
      <c r="BC153" s="2">
        <v>1</v>
      </c>
      <c r="BD153" s="2">
        <v>0</v>
      </c>
      <c r="BE153" s="2">
        <v>0</v>
      </c>
      <c r="BF153" s="2">
        <v>0</v>
      </c>
      <c r="BG153" s="2">
        <v>1</v>
      </c>
      <c r="BH153" s="2">
        <v>1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1</v>
      </c>
      <c r="BT153" s="2">
        <v>0</v>
      </c>
      <c r="BU153" s="2">
        <v>1</v>
      </c>
      <c r="BV153" s="2">
        <v>1</v>
      </c>
      <c r="BW153" s="2">
        <v>1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>
        <v>3</v>
      </c>
      <c r="CR153" s="2" t="s">
        <v>47</v>
      </c>
      <c r="CS153" s="2">
        <v>5</v>
      </c>
      <c r="CT153" s="2" t="s">
        <v>146</v>
      </c>
      <c r="CU153" s="2">
        <v>4</v>
      </c>
      <c r="CV153" s="2" t="s">
        <v>145</v>
      </c>
      <c r="CW153" s="2">
        <v>2</v>
      </c>
      <c r="CX153" s="2" t="s">
        <v>143</v>
      </c>
    </row>
    <row r="154" ht="46" customHeight="1" spans="1:102">
      <c r="A154" s="2" t="s">
        <v>500</v>
      </c>
      <c r="B154" s="2">
        <v>154</v>
      </c>
      <c r="C154" s="2" t="s">
        <v>286</v>
      </c>
      <c r="D154" s="2">
        <v>1</v>
      </c>
      <c r="E154" s="2">
        <v>1</v>
      </c>
      <c r="F154" s="2">
        <v>757</v>
      </c>
      <c r="G154" s="2" t="s">
        <v>9</v>
      </c>
      <c r="H154" s="2" t="s">
        <v>24</v>
      </c>
      <c r="I154" s="2" t="s">
        <v>30</v>
      </c>
      <c r="J154" s="2" t="s">
        <v>34</v>
      </c>
      <c r="K154" s="2" t="s">
        <v>44</v>
      </c>
      <c r="L154" s="2">
        <v>1</v>
      </c>
      <c r="M154" s="2" t="s">
        <v>45</v>
      </c>
      <c r="N154" s="2" t="s">
        <v>287</v>
      </c>
      <c r="O154" s="2">
        <v>0</v>
      </c>
      <c r="P154" s="2" t="s">
        <v>463</v>
      </c>
      <c r="Q154" s="2">
        <v>0</v>
      </c>
      <c r="R154" s="2">
        <v>1</v>
      </c>
      <c r="S154" s="2">
        <v>0</v>
      </c>
      <c r="T154" s="2">
        <v>1</v>
      </c>
      <c r="U154" s="2">
        <v>1</v>
      </c>
      <c r="V154" s="2" t="s">
        <v>289</v>
      </c>
      <c r="W154" s="2" t="s">
        <v>319</v>
      </c>
      <c r="X154" s="2" t="s">
        <v>83</v>
      </c>
      <c r="Y154" s="2">
        <v>1</v>
      </c>
      <c r="Z154" s="2">
        <v>0</v>
      </c>
      <c r="AA154" s="2">
        <v>0</v>
      </c>
      <c r="AB154" s="2">
        <v>1</v>
      </c>
      <c r="AC154" s="2">
        <v>0</v>
      </c>
      <c r="AD154" s="2">
        <v>1</v>
      </c>
      <c r="AE154" s="2">
        <v>0</v>
      </c>
      <c r="AF154" s="2">
        <v>0</v>
      </c>
      <c r="AG154" s="2">
        <v>1</v>
      </c>
      <c r="AH154" s="2">
        <v>0</v>
      </c>
      <c r="AI154" s="2">
        <v>0</v>
      </c>
      <c r="AJ154" s="2">
        <v>0</v>
      </c>
      <c r="AK154" s="2">
        <v>1</v>
      </c>
      <c r="AL154" s="2">
        <v>0</v>
      </c>
      <c r="AM154" s="2">
        <v>1</v>
      </c>
      <c r="AN154" s="2">
        <v>0</v>
      </c>
      <c r="AO154" s="2">
        <v>0</v>
      </c>
      <c r="AP154" s="2">
        <v>0</v>
      </c>
      <c r="AQ154" s="2">
        <v>0</v>
      </c>
      <c r="AR154" s="2"/>
      <c r="AS154" s="2"/>
      <c r="AT154" s="2"/>
      <c r="AU154" s="2"/>
      <c r="AV154" s="2"/>
      <c r="AW154" s="2"/>
      <c r="AX154" s="2">
        <v>1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1</v>
      </c>
      <c r="BG154" s="2">
        <v>0</v>
      </c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>
        <v>1</v>
      </c>
      <c r="BV154" s="2">
        <v>1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1</v>
      </c>
      <c r="CE154" s="2">
        <v>0</v>
      </c>
      <c r="CF154" s="2">
        <v>0</v>
      </c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>
        <v>5</v>
      </c>
      <c r="CR154" s="2" t="s">
        <v>146</v>
      </c>
      <c r="CS154" s="2">
        <v>5</v>
      </c>
      <c r="CT154" s="2" t="s">
        <v>146</v>
      </c>
      <c r="CU154" s="2">
        <v>4</v>
      </c>
      <c r="CV154" s="2" t="s">
        <v>145</v>
      </c>
      <c r="CW154" s="2">
        <v>5</v>
      </c>
      <c r="CX154" s="2" t="s">
        <v>146</v>
      </c>
    </row>
    <row r="155" ht="46" customHeight="1" spans="1:102">
      <c r="A155" s="2" t="s">
        <v>501</v>
      </c>
      <c r="B155" s="2">
        <v>155</v>
      </c>
      <c r="C155" s="2" t="s">
        <v>286</v>
      </c>
      <c r="D155" s="2">
        <v>1</v>
      </c>
      <c r="E155" s="2">
        <v>1</v>
      </c>
      <c r="F155" s="2">
        <v>659</v>
      </c>
      <c r="G155" s="2" t="s">
        <v>13</v>
      </c>
      <c r="H155" s="2" t="s">
        <v>24</v>
      </c>
      <c r="I155" s="2" t="s">
        <v>28</v>
      </c>
      <c r="J155" s="2" t="s">
        <v>34</v>
      </c>
      <c r="K155" s="2" t="s">
        <v>44</v>
      </c>
      <c r="L155" s="2">
        <v>1</v>
      </c>
      <c r="M155" s="2" t="s">
        <v>45</v>
      </c>
      <c r="N155" s="2" t="s">
        <v>287</v>
      </c>
      <c r="O155" s="2">
        <v>0</v>
      </c>
      <c r="P155" s="2" t="s">
        <v>384</v>
      </c>
      <c r="Q155" s="2">
        <v>0</v>
      </c>
      <c r="R155" s="2">
        <v>1</v>
      </c>
      <c r="S155" s="2">
        <v>0</v>
      </c>
      <c r="T155" s="2">
        <v>1</v>
      </c>
      <c r="U155" s="2">
        <v>0</v>
      </c>
      <c r="V155" s="2" t="s">
        <v>289</v>
      </c>
      <c r="W155" s="2" t="s">
        <v>294</v>
      </c>
      <c r="X155" s="2" t="s">
        <v>83</v>
      </c>
      <c r="Y155" s="2">
        <v>1</v>
      </c>
      <c r="Z155" s="2">
        <v>1</v>
      </c>
      <c r="AA155" s="2">
        <v>0</v>
      </c>
      <c r="AB155" s="2">
        <v>0</v>
      </c>
      <c r="AC155" s="2">
        <v>1</v>
      </c>
      <c r="AD155" s="2">
        <v>1</v>
      </c>
      <c r="AE155" s="2">
        <v>1</v>
      </c>
      <c r="AF155" s="2">
        <v>0</v>
      </c>
      <c r="AG155" s="2">
        <v>1</v>
      </c>
      <c r="AH155" s="2">
        <v>1</v>
      </c>
      <c r="AI155" s="2">
        <v>0</v>
      </c>
      <c r="AJ155" s="2">
        <v>0</v>
      </c>
      <c r="AK155" s="2">
        <v>1</v>
      </c>
      <c r="AL155" s="2">
        <v>0</v>
      </c>
      <c r="AM155" s="2">
        <v>0</v>
      </c>
      <c r="AN155" s="2">
        <v>1</v>
      </c>
      <c r="AO155" s="2">
        <v>0</v>
      </c>
      <c r="AP155" s="2">
        <v>1</v>
      </c>
      <c r="AQ155" s="2">
        <v>0</v>
      </c>
      <c r="AR155" s="2"/>
      <c r="AS155" s="2"/>
      <c r="AT155" s="2"/>
      <c r="AU155" s="2"/>
      <c r="AV155" s="2"/>
      <c r="AW155" s="2"/>
      <c r="AX155" s="2">
        <v>1</v>
      </c>
      <c r="AY155" s="2">
        <v>1</v>
      </c>
      <c r="AZ155" s="2">
        <v>1</v>
      </c>
      <c r="BA155" s="2">
        <v>0</v>
      </c>
      <c r="BB155" s="2">
        <v>0</v>
      </c>
      <c r="BC155" s="2">
        <v>0</v>
      </c>
      <c r="BD155" s="2">
        <v>1</v>
      </c>
      <c r="BE155" s="2">
        <v>0</v>
      </c>
      <c r="BF155" s="2">
        <v>1</v>
      </c>
      <c r="BG155" s="2">
        <v>1</v>
      </c>
      <c r="BH155" s="2">
        <v>1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1</v>
      </c>
      <c r="BO155" s="2">
        <v>1</v>
      </c>
      <c r="BP155" s="2">
        <v>1</v>
      </c>
      <c r="BQ155" s="2">
        <v>1</v>
      </c>
      <c r="BR155" s="2">
        <v>1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0</v>
      </c>
      <c r="BY155" s="2">
        <v>0</v>
      </c>
      <c r="BZ155" s="2">
        <v>0</v>
      </c>
      <c r="CA155" s="2">
        <v>0</v>
      </c>
      <c r="CB155" s="2">
        <v>1</v>
      </c>
      <c r="CC155" s="2">
        <v>1</v>
      </c>
      <c r="CD155" s="2">
        <v>1</v>
      </c>
      <c r="CE155" s="2">
        <v>0</v>
      </c>
      <c r="CF155" s="2">
        <v>0</v>
      </c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>
        <v>4</v>
      </c>
      <c r="CR155" s="2" t="s">
        <v>145</v>
      </c>
      <c r="CS155" s="2">
        <v>5</v>
      </c>
      <c r="CT155" s="2" t="s">
        <v>146</v>
      </c>
      <c r="CU155" s="2">
        <v>4</v>
      </c>
      <c r="CV155" s="2" t="s">
        <v>145</v>
      </c>
      <c r="CW155" s="2">
        <v>3</v>
      </c>
      <c r="CX155" s="2" t="s">
        <v>47</v>
      </c>
    </row>
    <row r="156" ht="46" customHeight="1" spans="1:102">
      <c r="A156" s="2" t="s">
        <v>502</v>
      </c>
      <c r="B156" s="2">
        <v>156</v>
      </c>
      <c r="C156" s="2" t="s">
        <v>286</v>
      </c>
      <c r="D156" s="2">
        <v>1</v>
      </c>
      <c r="E156" s="2">
        <v>1</v>
      </c>
      <c r="F156" s="2">
        <v>461</v>
      </c>
      <c r="G156" s="2" t="s">
        <v>9</v>
      </c>
      <c r="H156" s="2" t="s">
        <v>23</v>
      </c>
      <c r="I156" s="2" t="s">
        <v>29</v>
      </c>
      <c r="J156" s="2" t="s">
        <v>37</v>
      </c>
      <c r="K156" s="2" t="s">
        <v>44</v>
      </c>
      <c r="L156" s="2">
        <v>1</v>
      </c>
      <c r="M156" s="2" t="s">
        <v>43</v>
      </c>
      <c r="N156" s="2" t="s">
        <v>287</v>
      </c>
      <c r="O156" s="2">
        <v>0</v>
      </c>
      <c r="P156" s="2" t="s">
        <v>288</v>
      </c>
      <c r="Q156" s="2">
        <v>0</v>
      </c>
      <c r="R156" s="2">
        <v>0</v>
      </c>
      <c r="S156" s="2">
        <v>0</v>
      </c>
      <c r="T156" s="2">
        <v>1</v>
      </c>
      <c r="U156" s="2">
        <v>1</v>
      </c>
      <c r="V156" s="2" t="s">
        <v>293</v>
      </c>
      <c r="W156" s="2" t="s">
        <v>290</v>
      </c>
      <c r="X156" s="2" t="s">
        <v>84</v>
      </c>
      <c r="Y156" s="2">
        <v>1</v>
      </c>
      <c r="Z156" s="2">
        <v>0</v>
      </c>
      <c r="AA156" s="2">
        <v>0</v>
      </c>
      <c r="AB156" s="2">
        <v>1</v>
      </c>
      <c r="AC156" s="2">
        <v>0</v>
      </c>
      <c r="AD156" s="2">
        <v>1</v>
      </c>
      <c r="AE156" s="2">
        <v>0</v>
      </c>
      <c r="AF156" s="2">
        <v>0</v>
      </c>
      <c r="AG156" s="2">
        <v>1</v>
      </c>
      <c r="AH156" s="2">
        <v>1</v>
      </c>
      <c r="AI156" s="2">
        <v>0</v>
      </c>
      <c r="AJ156" s="2">
        <v>0</v>
      </c>
      <c r="AK156" s="2">
        <v>1</v>
      </c>
      <c r="AL156" s="2">
        <v>0</v>
      </c>
      <c r="AM156" s="2">
        <v>0</v>
      </c>
      <c r="AN156" s="2">
        <v>0</v>
      </c>
      <c r="AO156" s="2">
        <v>0</v>
      </c>
      <c r="AP156" s="2">
        <v>1</v>
      </c>
      <c r="AQ156" s="2">
        <v>1</v>
      </c>
      <c r="AR156" s="2">
        <v>0</v>
      </c>
      <c r="AS156" s="2">
        <v>0</v>
      </c>
      <c r="AT156" s="2">
        <v>1</v>
      </c>
      <c r="AU156" s="2">
        <v>1</v>
      </c>
      <c r="AV156" s="2">
        <v>0</v>
      </c>
      <c r="AW156" s="2">
        <v>0</v>
      </c>
      <c r="AX156" s="2">
        <v>1</v>
      </c>
      <c r="AY156" s="2">
        <v>1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1</v>
      </c>
      <c r="BG156" s="2">
        <v>0</v>
      </c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>
        <v>1</v>
      </c>
      <c r="BV156" s="2">
        <v>1</v>
      </c>
      <c r="BW156" s="2">
        <v>0</v>
      </c>
      <c r="BX156" s="2">
        <v>1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1</v>
      </c>
      <c r="CE156" s="2">
        <v>0</v>
      </c>
      <c r="CF156" s="2">
        <v>0</v>
      </c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>
        <v>4</v>
      </c>
      <c r="CT156" s="2" t="s">
        <v>145</v>
      </c>
      <c r="CU156" s="2">
        <v>3</v>
      </c>
      <c r="CV156" s="2" t="s">
        <v>47</v>
      </c>
      <c r="CW156" s="2">
        <v>3</v>
      </c>
      <c r="CX156" s="2" t="s">
        <v>295</v>
      </c>
    </row>
    <row r="157" ht="46" customHeight="1" spans="1:102">
      <c r="A157" s="2" t="s">
        <v>503</v>
      </c>
      <c r="B157" s="2">
        <v>157</v>
      </c>
      <c r="C157" s="2" t="s">
        <v>286</v>
      </c>
      <c r="D157" s="2">
        <v>1</v>
      </c>
      <c r="E157" s="2">
        <v>1</v>
      </c>
      <c r="F157" s="2">
        <v>312</v>
      </c>
      <c r="G157" s="2" t="s">
        <v>11</v>
      </c>
      <c r="H157" s="2" t="s">
        <v>24</v>
      </c>
      <c r="I157" s="2" t="s">
        <v>30</v>
      </c>
      <c r="J157" s="2" t="s">
        <v>34</v>
      </c>
      <c r="K157" s="2" t="s">
        <v>44</v>
      </c>
      <c r="L157" s="2">
        <v>1</v>
      </c>
      <c r="M157" s="2" t="s">
        <v>43</v>
      </c>
      <c r="N157" s="2" t="s">
        <v>287</v>
      </c>
      <c r="O157" s="2">
        <v>0</v>
      </c>
      <c r="P157" s="2" t="s">
        <v>463</v>
      </c>
      <c r="Q157" s="2">
        <v>0</v>
      </c>
      <c r="R157" s="2">
        <v>1</v>
      </c>
      <c r="S157" s="2">
        <v>0</v>
      </c>
      <c r="T157" s="2">
        <v>1</v>
      </c>
      <c r="U157" s="2">
        <v>1</v>
      </c>
      <c r="V157" s="2" t="s">
        <v>289</v>
      </c>
      <c r="W157" s="2" t="s">
        <v>290</v>
      </c>
      <c r="X157" s="2" t="s">
        <v>83</v>
      </c>
      <c r="Y157" s="2">
        <v>1</v>
      </c>
      <c r="Z157" s="2">
        <v>1</v>
      </c>
      <c r="AA157" s="2">
        <v>0</v>
      </c>
      <c r="AB157" s="2">
        <v>1</v>
      </c>
      <c r="AC157" s="2">
        <v>0</v>
      </c>
      <c r="AD157" s="2">
        <v>0</v>
      </c>
      <c r="AE157" s="2">
        <v>0</v>
      </c>
      <c r="AF157" s="2">
        <v>0</v>
      </c>
      <c r="AG157" s="2">
        <v>1</v>
      </c>
      <c r="AH157" s="2">
        <v>0</v>
      </c>
      <c r="AI157" s="2">
        <v>0</v>
      </c>
      <c r="AJ157" s="2">
        <v>1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</v>
      </c>
      <c r="AQ157" s="2">
        <v>1</v>
      </c>
      <c r="AR157" s="2">
        <v>0</v>
      </c>
      <c r="AS157" s="2">
        <v>0</v>
      </c>
      <c r="AT157" s="2">
        <v>1</v>
      </c>
      <c r="AU157" s="2">
        <v>1</v>
      </c>
      <c r="AV157" s="2">
        <v>0</v>
      </c>
      <c r="AW157" s="2">
        <v>0</v>
      </c>
      <c r="AX157" s="2">
        <v>1</v>
      </c>
      <c r="AY157" s="2">
        <v>0</v>
      </c>
      <c r="AZ157" s="2">
        <v>1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1</v>
      </c>
      <c r="BG157" s="2">
        <v>0</v>
      </c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>
        <v>1</v>
      </c>
      <c r="BV157" s="2">
        <v>0</v>
      </c>
      <c r="BW157" s="2">
        <v>1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1</v>
      </c>
      <c r="CE157" s="2">
        <v>0</v>
      </c>
      <c r="CF157" s="2">
        <v>0</v>
      </c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>
        <v>5</v>
      </c>
      <c r="CR157" s="2" t="s">
        <v>146</v>
      </c>
      <c r="CS157" s="2">
        <v>5</v>
      </c>
      <c r="CT157" s="2" t="s">
        <v>146</v>
      </c>
      <c r="CU157" s="2">
        <v>4</v>
      </c>
      <c r="CV157" s="2" t="s">
        <v>145</v>
      </c>
      <c r="CW157" s="2">
        <v>4</v>
      </c>
      <c r="CX157" s="2" t="s">
        <v>145</v>
      </c>
    </row>
    <row r="158" ht="46" customHeight="1" spans="1:102">
      <c r="A158" s="2" t="s">
        <v>504</v>
      </c>
      <c r="B158" s="2">
        <v>158</v>
      </c>
      <c r="C158" s="2" t="s">
        <v>286</v>
      </c>
      <c r="D158" s="2">
        <v>1</v>
      </c>
      <c r="E158" s="2">
        <v>1</v>
      </c>
      <c r="F158" s="2">
        <v>492</v>
      </c>
      <c r="G158" s="2" t="s">
        <v>9</v>
      </c>
      <c r="H158" s="2" t="s">
        <v>24</v>
      </c>
      <c r="I158" s="2" t="s">
        <v>28</v>
      </c>
      <c r="J158" s="2" t="s">
        <v>36</v>
      </c>
      <c r="K158" s="2" t="s">
        <v>42</v>
      </c>
      <c r="L158" s="2">
        <v>1</v>
      </c>
      <c r="M158" s="2" t="s">
        <v>45</v>
      </c>
      <c r="N158" s="2" t="s">
        <v>287</v>
      </c>
      <c r="O158" s="2">
        <v>0</v>
      </c>
      <c r="P158" s="2" t="s">
        <v>384</v>
      </c>
      <c r="Q158" s="2">
        <v>0</v>
      </c>
      <c r="R158" s="2">
        <v>1</v>
      </c>
      <c r="S158" s="2">
        <v>0</v>
      </c>
      <c r="T158" s="2">
        <v>1</v>
      </c>
      <c r="U158" s="2">
        <v>0</v>
      </c>
      <c r="V158" s="2" t="s">
        <v>289</v>
      </c>
      <c r="W158" s="2" t="s">
        <v>302</v>
      </c>
      <c r="X158" s="2" t="s">
        <v>83</v>
      </c>
      <c r="Y158" s="2">
        <v>1</v>
      </c>
      <c r="Z158" s="2">
        <v>0</v>
      </c>
      <c r="AA158" s="2">
        <v>0</v>
      </c>
      <c r="AB158" s="2">
        <v>1</v>
      </c>
      <c r="AC158" s="2">
        <v>0</v>
      </c>
      <c r="AD158" s="2">
        <v>0</v>
      </c>
      <c r="AE158" s="2">
        <v>0</v>
      </c>
      <c r="AF158" s="2">
        <v>0</v>
      </c>
      <c r="AG158" s="2">
        <v>1</v>
      </c>
      <c r="AH158" s="2">
        <v>0</v>
      </c>
      <c r="AI158" s="2">
        <v>0</v>
      </c>
      <c r="AJ158" s="2">
        <v>0</v>
      </c>
      <c r="AK158" s="2">
        <v>1</v>
      </c>
      <c r="AL158" s="2">
        <v>0</v>
      </c>
      <c r="AM158" s="2">
        <v>1</v>
      </c>
      <c r="AN158" s="2">
        <v>0</v>
      </c>
      <c r="AO158" s="2">
        <v>0</v>
      </c>
      <c r="AP158" s="2">
        <v>0</v>
      </c>
      <c r="AQ158" s="2">
        <v>0</v>
      </c>
      <c r="AR158" s="2"/>
      <c r="AS158" s="2"/>
      <c r="AT158" s="2"/>
      <c r="AU158" s="2"/>
      <c r="AV158" s="2"/>
      <c r="AW158" s="2"/>
      <c r="AX158" s="2">
        <v>1</v>
      </c>
      <c r="AY158" s="2">
        <v>0</v>
      </c>
      <c r="AZ158" s="2">
        <v>0</v>
      </c>
      <c r="BA158" s="2">
        <v>0</v>
      </c>
      <c r="BB158" s="2">
        <v>0</v>
      </c>
      <c r="BC158" s="2">
        <v>1</v>
      </c>
      <c r="BD158" s="2">
        <v>0</v>
      </c>
      <c r="BE158" s="2">
        <v>0</v>
      </c>
      <c r="BF158" s="2">
        <v>0</v>
      </c>
      <c r="BG158" s="2">
        <v>1</v>
      </c>
      <c r="BH158" s="2">
        <v>0</v>
      </c>
      <c r="BI158" s="2">
        <v>0</v>
      </c>
      <c r="BJ158" s="2">
        <v>0</v>
      </c>
      <c r="BK158" s="2">
        <v>1</v>
      </c>
      <c r="BL158" s="2">
        <v>0</v>
      </c>
      <c r="BM158" s="2">
        <v>0</v>
      </c>
      <c r="BN158" s="2">
        <v>0</v>
      </c>
      <c r="BO158" s="2">
        <v>0</v>
      </c>
      <c r="BP158" s="2">
        <v>1</v>
      </c>
      <c r="BQ158" s="2">
        <v>0</v>
      </c>
      <c r="BR158" s="2">
        <v>0</v>
      </c>
      <c r="BS158" s="2">
        <v>0</v>
      </c>
      <c r="BT158" s="2">
        <v>0</v>
      </c>
      <c r="BU158" s="2">
        <v>1</v>
      </c>
      <c r="BV158" s="2">
        <v>1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1</v>
      </c>
      <c r="CC158" s="2">
        <v>0</v>
      </c>
      <c r="CD158" s="2">
        <v>0</v>
      </c>
      <c r="CE158" s="2">
        <v>0</v>
      </c>
      <c r="CF158" s="2">
        <v>0</v>
      </c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>
        <v>4</v>
      </c>
      <c r="CR158" s="2" t="s">
        <v>145</v>
      </c>
      <c r="CS158" s="2">
        <v>5</v>
      </c>
      <c r="CT158" s="2" t="s">
        <v>146</v>
      </c>
      <c r="CU158" s="2">
        <v>4</v>
      </c>
      <c r="CV158" s="2" t="s">
        <v>145</v>
      </c>
      <c r="CW158" s="2">
        <v>5</v>
      </c>
      <c r="CX158" s="2" t="s">
        <v>146</v>
      </c>
    </row>
    <row r="159" ht="46" customHeight="1" spans="1:102">
      <c r="A159" s="2" t="s">
        <v>505</v>
      </c>
      <c r="B159" s="2">
        <v>159</v>
      </c>
      <c r="C159" s="2" t="s">
        <v>286</v>
      </c>
      <c r="D159" s="2">
        <v>1</v>
      </c>
      <c r="E159" s="2">
        <v>1</v>
      </c>
      <c r="F159" s="2">
        <v>680</v>
      </c>
      <c r="G159" s="2" t="s">
        <v>9</v>
      </c>
      <c r="H159" s="2" t="s">
        <v>24</v>
      </c>
      <c r="I159" s="2" t="s">
        <v>28</v>
      </c>
      <c r="J159" s="2" t="s">
        <v>36</v>
      </c>
      <c r="K159" s="2" t="s">
        <v>42</v>
      </c>
      <c r="L159" s="2">
        <v>1</v>
      </c>
      <c r="M159" s="2" t="s">
        <v>43</v>
      </c>
      <c r="N159" s="2" t="s">
        <v>85</v>
      </c>
      <c r="O159" s="2">
        <v>0</v>
      </c>
      <c r="P159" s="2" t="s">
        <v>506</v>
      </c>
      <c r="Q159" s="2">
        <v>0</v>
      </c>
      <c r="R159" s="2">
        <v>0</v>
      </c>
      <c r="S159" s="2">
        <v>0</v>
      </c>
      <c r="T159" s="2">
        <v>0</v>
      </c>
      <c r="U159" s="2">
        <v>1</v>
      </c>
      <c r="V159" s="2" t="s">
        <v>293</v>
      </c>
      <c r="W159" s="2" t="s">
        <v>299</v>
      </c>
      <c r="X159" s="2" t="s">
        <v>85</v>
      </c>
      <c r="Y159" s="2">
        <v>1</v>
      </c>
      <c r="Z159" s="2">
        <v>0</v>
      </c>
      <c r="AA159" s="2">
        <v>0</v>
      </c>
      <c r="AB159" s="2">
        <v>0</v>
      </c>
      <c r="AC159" s="2">
        <v>0</v>
      </c>
      <c r="AD159" s="2">
        <v>1</v>
      </c>
      <c r="AE159" s="2">
        <v>0</v>
      </c>
      <c r="AF159" s="2">
        <v>0</v>
      </c>
      <c r="AG159" s="2">
        <v>1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1</v>
      </c>
      <c r="AQ159" s="2">
        <v>1</v>
      </c>
      <c r="AR159" s="2">
        <v>0</v>
      </c>
      <c r="AS159" s="2">
        <v>0</v>
      </c>
      <c r="AT159" s="2">
        <v>0</v>
      </c>
      <c r="AU159" s="2">
        <v>0</v>
      </c>
      <c r="AV159" s="2">
        <v>1</v>
      </c>
      <c r="AW159" s="2">
        <v>0</v>
      </c>
      <c r="AX159" s="2">
        <v>0</v>
      </c>
      <c r="AY159" s="2"/>
      <c r="AZ159" s="2"/>
      <c r="BA159" s="2"/>
      <c r="BB159" s="2"/>
      <c r="BC159" s="2"/>
      <c r="BD159" s="2"/>
      <c r="BE159" s="2"/>
      <c r="BF159" s="2"/>
      <c r="BG159" s="2">
        <v>0</v>
      </c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>
        <v>1</v>
      </c>
      <c r="BV159" s="2">
        <v>0</v>
      </c>
      <c r="BW159" s="2">
        <v>0</v>
      </c>
      <c r="BX159" s="2">
        <v>1</v>
      </c>
      <c r="BY159" s="2">
        <v>0</v>
      </c>
      <c r="BZ159" s="2">
        <v>0</v>
      </c>
      <c r="CA159" s="2">
        <v>0</v>
      </c>
      <c r="CB159" s="2">
        <v>1</v>
      </c>
      <c r="CC159" s="2">
        <v>0</v>
      </c>
      <c r="CD159" s="2">
        <v>0</v>
      </c>
      <c r="CE159" s="2">
        <v>0</v>
      </c>
      <c r="CF159" s="2">
        <v>1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1</v>
      </c>
      <c r="CO159" s="2">
        <v>0</v>
      </c>
      <c r="CP159" s="2">
        <v>0</v>
      </c>
      <c r="CQ159" s="2"/>
      <c r="CR159" s="2" t="s">
        <v>507</v>
      </c>
      <c r="CS159" s="2"/>
      <c r="CT159" s="2"/>
      <c r="CU159" s="2"/>
      <c r="CV159" s="2"/>
      <c r="CW159" s="2"/>
      <c r="CX159" s="2"/>
    </row>
    <row r="160" ht="46" customHeight="1" spans="1:102">
      <c r="A160" s="2" t="s">
        <v>508</v>
      </c>
      <c r="B160" s="2">
        <v>160</v>
      </c>
      <c r="C160" s="2" t="s">
        <v>286</v>
      </c>
      <c r="D160" s="2">
        <v>1</v>
      </c>
      <c r="E160" s="2">
        <v>1</v>
      </c>
      <c r="F160" s="2">
        <v>317</v>
      </c>
      <c r="G160" s="2" t="s">
        <v>9</v>
      </c>
      <c r="H160" s="2" t="s">
        <v>23</v>
      </c>
      <c r="I160" s="2" t="s">
        <v>28</v>
      </c>
      <c r="J160" s="2" t="s">
        <v>37</v>
      </c>
      <c r="K160" s="2" t="s">
        <v>48</v>
      </c>
      <c r="L160" s="2">
        <v>1</v>
      </c>
      <c r="M160" s="2" t="s">
        <v>45</v>
      </c>
      <c r="N160" s="2" t="s">
        <v>287</v>
      </c>
      <c r="O160" s="2">
        <v>0</v>
      </c>
      <c r="P160" s="2" t="s">
        <v>288</v>
      </c>
      <c r="Q160" s="2">
        <v>0</v>
      </c>
      <c r="R160" s="2">
        <v>0</v>
      </c>
      <c r="S160" s="2">
        <v>0</v>
      </c>
      <c r="T160" s="2">
        <v>1</v>
      </c>
      <c r="U160" s="2">
        <v>1</v>
      </c>
      <c r="V160" s="2" t="s">
        <v>293</v>
      </c>
      <c r="W160" s="2" t="s">
        <v>290</v>
      </c>
      <c r="X160" s="2" t="s">
        <v>84</v>
      </c>
      <c r="Y160" s="2">
        <v>1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1</v>
      </c>
      <c r="AF160" s="2">
        <v>0</v>
      </c>
      <c r="AG160" s="2">
        <v>1</v>
      </c>
      <c r="AH160" s="2">
        <v>0</v>
      </c>
      <c r="AI160" s="2">
        <v>0</v>
      </c>
      <c r="AJ160" s="2">
        <v>0</v>
      </c>
      <c r="AK160" s="2">
        <v>1</v>
      </c>
      <c r="AL160" s="2">
        <v>0</v>
      </c>
      <c r="AM160" s="2">
        <v>1</v>
      </c>
      <c r="AN160" s="2">
        <v>0</v>
      </c>
      <c r="AO160" s="2">
        <v>0</v>
      </c>
      <c r="AP160" s="2">
        <v>0</v>
      </c>
      <c r="AQ160" s="2">
        <v>0</v>
      </c>
      <c r="AR160" s="2"/>
      <c r="AS160" s="2"/>
      <c r="AT160" s="2"/>
      <c r="AU160" s="2"/>
      <c r="AV160" s="2"/>
      <c r="AW160" s="2"/>
      <c r="AX160" s="2">
        <v>1</v>
      </c>
      <c r="AY160" s="2">
        <v>0</v>
      </c>
      <c r="AZ160" s="2">
        <v>0</v>
      </c>
      <c r="BA160" s="2">
        <v>1</v>
      </c>
      <c r="BB160" s="2">
        <v>0</v>
      </c>
      <c r="BC160" s="2">
        <v>0</v>
      </c>
      <c r="BD160" s="2">
        <v>0</v>
      </c>
      <c r="BE160" s="2">
        <v>0</v>
      </c>
      <c r="BF160" s="2">
        <v>1</v>
      </c>
      <c r="BG160" s="2">
        <v>0</v>
      </c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>
        <v>1</v>
      </c>
      <c r="BV160" s="2">
        <v>1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1</v>
      </c>
      <c r="CC160" s="2">
        <v>0</v>
      </c>
      <c r="CD160" s="2">
        <v>0</v>
      </c>
      <c r="CE160" s="2">
        <v>0</v>
      </c>
      <c r="CF160" s="2">
        <v>0</v>
      </c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>
        <v>4</v>
      </c>
      <c r="CR160" s="2" t="s">
        <v>145</v>
      </c>
      <c r="CS160" s="2">
        <v>3</v>
      </c>
      <c r="CT160" s="2" t="s">
        <v>47</v>
      </c>
      <c r="CU160" s="2">
        <v>5</v>
      </c>
      <c r="CV160" s="2" t="s">
        <v>146</v>
      </c>
      <c r="CW160" s="2">
        <v>4</v>
      </c>
      <c r="CX160" s="2" t="s">
        <v>145</v>
      </c>
    </row>
    <row r="161" ht="46" customHeight="1" spans="1:102">
      <c r="A161" s="2" t="s">
        <v>509</v>
      </c>
      <c r="B161" s="2">
        <v>161</v>
      </c>
      <c r="C161" s="2" t="s">
        <v>286</v>
      </c>
      <c r="D161" s="2">
        <v>1</v>
      </c>
      <c r="E161" s="2">
        <v>1</v>
      </c>
      <c r="F161" s="2">
        <v>288</v>
      </c>
      <c r="G161" s="2" t="s">
        <v>9</v>
      </c>
      <c r="H161" s="2" t="s">
        <v>24</v>
      </c>
      <c r="I161" s="2" t="s">
        <v>29</v>
      </c>
      <c r="J161" s="2" t="s">
        <v>35</v>
      </c>
      <c r="K161" s="2" t="s">
        <v>42</v>
      </c>
      <c r="L161" s="2">
        <v>1</v>
      </c>
      <c r="M161" s="2" t="s">
        <v>43</v>
      </c>
      <c r="N161" s="2" t="s">
        <v>287</v>
      </c>
      <c r="O161" s="2">
        <v>0</v>
      </c>
      <c r="P161" s="2" t="s">
        <v>288</v>
      </c>
      <c r="Q161" s="2">
        <v>0</v>
      </c>
      <c r="R161" s="2">
        <v>0</v>
      </c>
      <c r="S161" s="2">
        <v>0</v>
      </c>
      <c r="T161" s="2">
        <v>1</v>
      </c>
      <c r="U161" s="2">
        <v>1</v>
      </c>
      <c r="V161" s="2" t="s">
        <v>293</v>
      </c>
      <c r="W161" s="2" t="s">
        <v>319</v>
      </c>
      <c r="X161" s="2" t="s">
        <v>84</v>
      </c>
      <c r="Y161" s="2">
        <v>1</v>
      </c>
      <c r="Z161" s="2">
        <v>0</v>
      </c>
      <c r="AA161" s="2">
        <v>0</v>
      </c>
      <c r="AB161" s="2">
        <v>0</v>
      </c>
      <c r="AC161" s="2">
        <v>0</v>
      </c>
      <c r="AD161" s="2">
        <v>1</v>
      </c>
      <c r="AE161" s="2">
        <v>0</v>
      </c>
      <c r="AF161" s="2">
        <v>0</v>
      </c>
      <c r="AG161" s="2">
        <v>1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</v>
      </c>
      <c r="AQ161" s="2">
        <v>1</v>
      </c>
      <c r="AR161" s="2">
        <v>0</v>
      </c>
      <c r="AS161" s="2">
        <v>0</v>
      </c>
      <c r="AT161" s="2">
        <v>0</v>
      </c>
      <c r="AU161" s="2">
        <v>1</v>
      </c>
      <c r="AV161" s="2">
        <v>0</v>
      </c>
      <c r="AW161" s="2">
        <v>0</v>
      </c>
      <c r="AX161" s="2">
        <v>1</v>
      </c>
      <c r="AY161" s="2">
        <v>0</v>
      </c>
      <c r="AZ161" s="2">
        <v>1</v>
      </c>
      <c r="BA161" s="2">
        <v>0</v>
      </c>
      <c r="BB161" s="2">
        <v>0</v>
      </c>
      <c r="BC161" s="2">
        <v>1</v>
      </c>
      <c r="BD161" s="2">
        <v>0</v>
      </c>
      <c r="BE161" s="2">
        <v>0</v>
      </c>
      <c r="BF161" s="2">
        <v>0</v>
      </c>
      <c r="BG161" s="2">
        <v>0</v>
      </c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>
        <v>1</v>
      </c>
      <c r="BV161" s="2">
        <v>0</v>
      </c>
      <c r="BW161" s="2">
        <v>1</v>
      </c>
      <c r="BX161" s="2">
        <v>0</v>
      </c>
      <c r="BY161" s="2">
        <v>0</v>
      </c>
      <c r="BZ161" s="2">
        <v>0</v>
      </c>
      <c r="CA161" s="2">
        <v>1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>
        <v>5</v>
      </c>
      <c r="CR161" s="2" t="s">
        <v>146</v>
      </c>
      <c r="CS161" s="2">
        <v>4</v>
      </c>
      <c r="CT161" s="2" t="s">
        <v>145</v>
      </c>
      <c r="CU161" s="2">
        <v>5</v>
      </c>
      <c r="CV161" s="2" t="s">
        <v>146</v>
      </c>
      <c r="CW161" s="2">
        <v>5</v>
      </c>
      <c r="CX161" s="2" t="s">
        <v>146</v>
      </c>
    </row>
    <row r="162" ht="46" customHeight="1" spans="1:102">
      <c r="A162" s="2" t="s">
        <v>510</v>
      </c>
      <c r="B162" s="2">
        <v>162</v>
      </c>
      <c r="C162" s="2" t="s">
        <v>286</v>
      </c>
      <c r="D162" s="2">
        <v>1</v>
      </c>
      <c r="E162" s="2">
        <v>1</v>
      </c>
      <c r="F162" s="2">
        <v>377</v>
      </c>
      <c r="G162" s="2" t="s">
        <v>11</v>
      </c>
      <c r="H162" s="2" t="s">
        <v>24</v>
      </c>
      <c r="I162" s="2" t="s">
        <v>28</v>
      </c>
      <c r="J162" s="2" t="s">
        <v>34</v>
      </c>
      <c r="K162" s="2" t="s">
        <v>44</v>
      </c>
      <c r="L162" s="2">
        <v>1</v>
      </c>
      <c r="M162" s="2" t="s">
        <v>43</v>
      </c>
      <c r="N162" s="2" t="s">
        <v>287</v>
      </c>
      <c r="O162" s="2">
        <v>0</v>
      </c>
      <c r="P162" s="2" t="s">
        <v>288</v>
      </c>
      <c r="Q162" s="2">
        <v>0</v>
      </c>
      <c r="R162" s="2">
        <v>0</v>
      </c>
      <c r="S162" s="2">
        <v>0</v>
      </c>
      <c r="T162" s="2">
        <v>1</v>
      </c>
      <c r="U162" s="2">
        <v>1</v>
      </c>
      <c r="V162" s="2" t="s">
        <v>289</v>
      </c>
      <c r="W162" s="2" t="s">
        <v>294</v>
      </c>
      <c r="X162" s="2" t="s">
        <v>83</v>
      </c>
      <c r="Y162" s="2">
        <v>1</v>
      </c>
      <c r="Z162" s="2">
        <v>1</v>
      </c>
      <c r="AA162" s="2">
        <v>0</v>
      </c>
      <c r="AB162" s="2">
        <v>1</v>
      </c>
      <c r="AC162" s="2">
        <v>0</v>
      </c>
      <c r="AD162" s="2">
        <v>1</v>
      </c>
      <c r="AE162" s="2">
        <v>0</v>
      </c>
      <c r="AF162" s="2">
        <v>0</v>
      </c>
      <c r="AG162" s="2">
        <v>1</v>
      </c>
      <c r="AH162" s="2">
        <v>1</v>
      </c>
      <c r="AI162" s="2">
        <v>0</v>
      </c>
      <c r="AJ162" s="2">
        <v>0</v>
      </c>
      <c r="AK162" s="2">
        <v>0</v>
      </c>
      <c r="AL162" s="2">
        <v>0</v>
      </c>
      <c r="AM162" s="2">
        <v>1</v>
      </c>
      <c r="AN162" s="2">
        <v>0</v>
      </c>
      <c r="AO162" s="2">
        <v>0</v>
      </c>
      <c r="AP162" s="2">
        <v>1</v>
      </c>
      <c r="AQ162" s="2">
        <v>1</v>
      </c>
      <c r="AR162" s="2">
        <v>0</v>
      </c>
      <c r="AS162" s="2">
        <v>0</v>
      </c>
      <c r="AT162" s="2">
        <v>1</v>
      </c>
      <c r="AU162" s="2">
        <v>1</v>
      </c>
      <c r="AV162" s="2">
        <v>1</v>
      </c>
      <c r="AW162" s="2">
        <v>0</v>
      </c>
      <c r="AX162" s="2">
        <v>1</v>
      </c>
      <c r="AY162" s="2">
        <v>1</v>
      </c>
      <c r="AZ162" s="2">
        <v>1</v>
      </c>
      <c r="BA162" s="2">
        <v>0</v>
      </c>
      <c r="BB162" s="2">
        <v>0</v>
      </c>
      <c r="BC162" s="2">
        <v>1</v>
      </c>
      <c r="BD162" s="2">
        <v>0</v>
      </c>
      <c r="BE162" s="2">
        <v>0</v>
      </c>
      <c r="BF162" s="2">
        <v>1</v>
      </c>
      <c r="BG162" s="2">
        <v>0</v>
      </c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>
        <v>1</v>
      </c>
      <c r="BV162" s="2">
        <v>1</v>
      </c>
      <c r="BW162" s="2">
        <v>1</v>
      </c>
      <c r="BX162" s="2">
        <v>1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>
        <v>3</v>
      </c>
      <c r="CR162" s="2" t="s">
        <v>47</v>
      </c>
      <c r="CS162" s="2">
        <v>4</v>
      </c>
      <c r="CT162" s="2" t="s">
        <v>511</v>
      </c>
      <c r="CU162" s="2">
        <v>5</v>
      </c>
      <c r="CV162" s="2" t="s">
        <v>512</v>
      </c>
      <c r="CW162" s="2">
        <v>4</v>
      </c>
      <c r="CX162" s="2" t="s">
        <v>511</v>
      </c>
    </row>
    <row r="163" ht="46" customHeight="1" spans="1:102">
      <c r="A163" s="2" t="s">
        <v>513</v>
      </c>
      <c r="B163" s="2">
        <v>163</v>
      </c>
      <c r="C163" s="2" t="s">
        <v>286</v>
      </c>
      <c r="D163" s="2">
        <v>1</v>
      </c>
      <c r="E163" s="2">
        <v>1</v>
      </c>
      <c r="F163" s="2">
        <v>463</v>
      </c>
      <c r="G163" s="2" t="s">
        <v>9</v>
      </c>
      <c r="H163" s="2" t="s">
        <v>24</v>
      </c>
      <c r="I163" s="2" t="s">
        <v>28</v>
      </c>
      <c r="J163" s="2" t="s">
        <v>37</v>
      </c>
      <c r="K163" s="2" t="s">
        <v>44</v>
      </c>
      <c r="L163" s="2">
        <v>1</v>
      </c>
      <c r="M163" s="2" t="s">
        <v>43</v>
      </c>
      <c r="N163" s="2" t="s">
        <v>287</v>
      </c>
      <c r="O163" s="2">
        <v>0</v>
      </c>
      <c r="P163" s="2" t="s">
        <v>301</v>
      </c>
      <c r="Q163" s="2">
        <v>0</v>
      </c>
      <c r="R163" s="2">
        <v>0</v>
      </c>
      <c r="S163" s="2">
        <v>0</v>
      </c>
      <c r="T163" s="2">
        <v>1</v>
      </c>
      <c r="U163" s="2">
        <v>0</v>
      </c>
      <c r="V163" s="2" t="s">
        <v>293</v>
      </c>
      <c r="W163" s="2" t="s">
        <v>290</v>
      </c>
      <c r="X163" s="2" t="s">
        <v>84</v>
      </c>
      <c r="Y163" s="2">
        <v>1</v>
      </c>
      <c r="Z163" s="2">
        <v>1</v>
      </c>
      <c r="AA163" s="2">
        <v>0</v>
      </c>
      <c r="AB163" s="2">
        <v>1</v>
      </c>
      <c r="AC163" s="2">
        <v>0</v>
      </c>
      <c r="AD163" s="2">
        <v>1</v>
      </c>
      <c r="AE163" s="2">
        <v>0</v>
      </c>
      <c r="AF163" s="2">
        <v>0</v>
      </c>
      <c r="AG163" s="2">
        <v>1</v>
      </c>
      <c r="AH163" s="2">
        <v>1</v>
      </c>
      <c r="AI163" s="2">
        <v>1</v>
      </c>
      <c r="AJ163" s="2">
        <v>0</v>
      </c>
      <c r="AK163" s="2">
        <v>1</v>
      </c>
      <c r="AL163" s="2">
        <v>0</v>
      </c>
      <c r="AM163" s="2">
        <v>0</v>
      </c>
      <c r="AN163" s="2">
        <v>0</v>
      </c>
      <c r="AO163" s="2">
        <v>0</v>
      </c>
      <c r="AP163" s="2">
        <v>1</v>
      </c>
      <c r="AQ163" s="2">
        <v>1</v>
      </c>
      <c r="AR163" s="2">
        <v>0</v>
      </c>
      <c r="AS163" s="2">
        <v>0</v>
      </c>
      <c r="AT163" s="2">
        <v>0</v>
      </c>
      <c r="AU163" s="2">
        <v>1</v>
      </c>
      <c r="AV163" s="2">
        <v>0</v>
      </c>
      <c r="AW163" s="2">
        <v>1</v>
      </c>
      <c r="AX163" s="2">
        <v>1</v>
      </c>
      <c r="AY163" s="2">
        <v>1</v>
      </c>
      <c r="AZ163" s="2">
        <v>1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1</v>
      </c>
      <c r="BG163" s="2">
        <v>1</v>
      </c>
      <c r="BH163" s="2">
        <v>0</v>
      </c>
      <c r="BI163" s="2">
        <v>0</v>
      </c>
      <c r="BJ163" s="2">
        <v>1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1</v>
      </c>
      <c r="BU163" s="2">
        <v>1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1</v>
      </c>
      <c r="CC163" s="2">
        <v>1</v>
      </c>
      <c r="CD163" s="2">
        <v>0</v>
      </c>
      <c r="CE163" s="2">
        <v>0</v>
      </c>
      <c r="CF163" s="2">
        <v>0</v>
      </c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>
        <v>5</v>
      </c>
      <c r="CR163" s="2" t="s">
        <v>146</v>
      </c>
      <c r="CS163" s="2"/>
      <c r="CT163" s="2"/>
      <c r="CU163" s="2">
        <v>4</v>
      </c>
      <c r="CV163" s="2" t="s">
        <v>145</v>
      </c>
      <c r="CW163" s="2"/>
      <c r="CX163" s="2"/>
    </row>
    <row r="164" ht="46" customHeight="1" spans="1:102">
      <c r="A164" s="2" t="s">
        <v>514</v>
      </c>
      <c r="B164" s="2">
        <v>164</v>
      </c>
      <c r="C164" s="2" t="s">
        <v>286</v>
      </c>
      <c r="D164" s="2">
        <v>1</v>
      </c>
      <c r="E164" s="2">
        <v>1</v>
      </c>
      <c r="F164" s="2">
        <v>266</v>
      </c>
      <c r="G164" s="2" t="s">
        <v>7</v>
      </c>
      <c r="H164" s="2" t="s">
        <v>24</v>
      </c>
      <c r="I164" s="2" t="s">
        <v>29</v>
      </c>
      <c r="J164" s="2" t="s">
        <v>34</v>
      </c>
      <c r="K164" s="2" t="s">
        <v>44</v>
      </c>
      <c r="L164" s="2">
        <v>1</v>
      </c>
      <c r="M164" s="2" t="s">
        <v>43</v>
      </c>
      <c r="N164" s="2" t="s">
        <v>287</v>
      </c>
      <c r="O164" s="2">
        <v>0</v>
      </c>
      <c r="P164" s="2" t="s">
        <v>515</v>
      </c>
      <c r="Q164" s="2">
        <v>0</v>
      </c>
      <c r="R164" s="2">
        <v>0</v>
      </c>
      <c r="S164" s="2">
        <v>0</v>
      </c>
      <c r="T164" s="2">
        <v>1</v>
      </c>
      <c r="U164" s="2">
        <v>1</v>
      </c>
      <c r="V164" s="2" t="s">
        <v>293</v>
      </c>
      <c r="W164" s="2" t="s">
        <v>294</v>
      </c>
      <c r="X164" s="2" t="s">
        <v>84</v>
      </c>
      <c r="Y164" s="2">
        <v>1</v>
      </c>
      <c r="Z164" s="2">
        <v>1</v>
      </c>
      <c r="AA164" s="2">
        <v>0</v>
      </c>
      <c r="AB164" s="2">
        <v>1</v>
      </c>
      <c r="AC164" s="2">
        <v>0</v>
      </c>
      <c r="AD164" s="2">
        <v>0</v>
      </c>
      <c r="AE164" s="2">
        <v>1</v>
      </c>
      <c r="AF164" s="2">
        <v>0</v>
      </c>
      <c r="AG164" s="2">
        <v>1</v>
      </c>
      <c r="AH164" s="2">
        <v>1</v>
      </c>
      <c r="AI164" s="2">
        <v>0</v>
      </c>
      <c r="AJ164" s="2">
        <v>0</v>
      </c>
      <c r="AK164" s="2">
        <v>1</v>
      </c>
      <c r="AL164" s="2">
        <v>0</v>
      </c>
      <c r="AM164" s="2">
        <v>1</v>
      </c>
      <c r="AN164" s="2">
        <v>0</v>
      </c>
      <c r="AO164" s="2">
        <v>0</v>
      </c>
      <c r="AP164" s="2">
        <v>0</v>
      </c>
      <c r="AQ164" s="2">
        <v>1</v>
      </c>
      <c r="AR164" s="2">
        <v>0</v>
      </c>
      <c r="AS164" s="2">
        <v>0</v>
      </c>
      <c r="AT164" s="2">
        <v>1</v>
      </c>
      <c r="AU164" s="2">
        <v>1</v>
      </c>
      <c r="AV164" s="2">
        <v>0</v>
      </c>
      <c r="AW164" s="2">
        <v>0</v>
      </c>
      <c r="AX164" s="2">
        <v>1</v>
      </c>
      <c r="AY164" s="2">
        <v>0</v>
      </c>
      <c r="AZ164" s="2">
        <v>1</v>
      </c>
      <c r="BA164" s="2">
        <v>1</v>
      </c>
      <c r="BB164" s="2">
        <v>0</v>
      </c>
      <c r="BC164" s="2">
        <v>1</v>
      </c>
      <c r="BD164" s="2">
        <v>0</v>
      </c>
      <c r="BE164" s="2">
        <v>0</v>
      </c>
      <c r="BF164" s="2">
        <v>1</v>
      </c>
      <c r="BG164" s="2">
        <v>0</v>
      </c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>
        <v>1</v>
      </c>
      <c r="BV164" s="2">
        <v>0</v>
      </c>
      <c r="BW164" s="2">
        <v>1</v>
      </c>
      <c r="BX164" s="2">
        <v>0</v>
      </c>
      <c r="BY164" s="2">
        <v>0</v>
      </c>
      <c r="BZ164" s="2">
        <v>0</v>
      </c>
      <c r="CA164" s="2">
        <v>1</v>
      </c>
      <c r="CB164" s="2">
        <v>0</v>
      </c>
      <c r="CC164" s="2">
        <v>0</v>
      </c>
      <c r="CD164" s="2">
        <v>1</v>
      </c>
      <c r="CE164" s="2">
        <v>0</v>
      </c>
      <c r="CF164" s="2">
        <v>0</v>
      </c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 t="s">
        <v>296</v>
      </c>
      <c r="CS164" s="2"/>
      <c r="CT164" s="2" t="s">
        <v>296</v>
      </c>
      <c r="CU164" s="2"/>
      <c r="CV164" s="2"/>
      <c r="CW164" s="2"/>
      <c r="CX164" s="2" t="s">
        <v>296</v>
      </c>
    </row>
    <row r="165" ht="46" customHeight="1" spans="1:102">
      <c r="A165" s="2" t="s">
        <v>516</v>
      </c>
      <c r="B165" s="2">
        <v>165</v>
      </c>
      <c r="C165" s="2" t="s">
        <v>286</v>
      </c>
      <c r="D165" s="2">
        <v>1</v>
      </c>
      <c r="E165" s="2">
        <v>1</v>
      </c>
      <c r="F165" s="2">
        <v>171</v>
      </c>
      <c r="G165" s="2" t="s">
        <v>7</v>
      </c>
      <c r="H165" s="2" t="s">
        <v>23</v>
      </c>
      <c r="I165" s="2" t="s">
        <v>28</v>
      </c>
      <c r="J165" s="2" t="s">
        <v>35</v>
      </c>
      <c r="K165" s="2" t="s">
        <v>48</v>
      </c>
      <c r="L165" s="2">
        <v>1</v>
      </c>
      <c r="M165" s="2" t="s">
        <v>45</v>
      </c>
      <c r="N165" s="2" t="s">
        <v>287</v>
      </c>
      <c r="O165" s="2">
        <v>0</v>
      </c>
      <c r="P165" s="2" t="s">
        <v>517</v>
      </c>
      <c r="Q165" s="2">
        <v>0</v>
      </c>
      <c r="R165" s="2">
        <v>1</v>
      </c>
      <c r="S165" s="2">
        <v>0</v>
      </c>
      <c r="T165" s="2">
        <v>0</v>
      </c>
      <c r="U165" s="2">
        <v>0</v>
      </c>
      <c r="V165" s="2" t="s">
        <v>289</v>
      </c>
      <c r="W165" s="2" t="s">
        <v>294</v>
      </c>
      <c r="X165" s="2" t="s">
        <v>83</v>
      </c>
      <c r="Y165" s="2">
        <v>1</v>
      </c>
      <c r="Z165" s="2">
        <v>1</v>
      </c>
      <c r="AA165" s="2">
        <v>0</v>
      </c>
      <c r="AB165" s="2">
        <v>1</v>
      </c>
      <c r="AC165" s="2">
        <v>1</v>
      </c>
      <c r="AD165" s="2">
        <v>1</v>
      </c>
      <c r="AE165" s="2">
        <v>0</v>
      </c>
      <c r="AF165" s="2">
        <v>0</v>
      </c>
      <c r="AG165" s="2">
        <v>1</v>
      </c>
      <c r="AH165" s="2">
        <v>0</v>
      </c>
      <c r="AI165" s="2">
        <v>1</v>
      </c>
      <c r="AJ165" s="2">
        <v>0</v>
      </c>
      <c r="AK165" s="2">
        <v>0</v>
      </c>
      <c r="AL165" s="2">
        <v>0</v>
      </c>
      <c r="AM165" s="2">
        <v>1</v>
      </c>
      <c r="AN165" s="2">
        <v>0</v>
      </c>
      <c r="AO165" s="2">
        <v>0</v>
      </c>
      <c r="AP165" s="2">
        <v>1</v>
      </c>
      <c r="AQ165" s="2">
        <v>0</v>
      </c>
      <c r="AR165" s="2"/>
      <c r="AS165" s="2"/>
      <c r="AT165" s="2"/>
      <c r="AU165" s="2"/>
      <c r="AV165" s="2"/>
      <c r="AW165" s="2"/>
      <c r="AX165" s="2">
        <v>1</v>
      </c>
      <c r="AY165" s="2">
        <v>1</v>
      </c>
      <c r="AZ165" s="2">
        <v>1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1</v>
      </c>
      <c r="BQ165" s="2">
        <v>0</v>
      </c>
      <c r="BR165" s="2">
        <v>0</v>
      </c>
      <c r="BS165" s="2">
        <v>0</v>
      </c>
      <c r="BT165" s="2">
        <v>0</v>
      </c>
      <c r="BU165" s="2">
        <v>1</v>
      </c>
      <c r="BV165" s="2">
        <v>0</v>
      </c>
      <c r="BW165" s="2">
        <v>0</v>
      </c>
      <c r="BX165" s="2">
        <v>1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1</v>
      </c>
      <c r="CG165" s="2">
        <v>0</v>
      </c>
      <c r="CH165" s="2">
        <v>0</v>
      </c>
      <c r="CI165" s="2">
        <v>0</v>
      </c>
      <c r="CJ165" s="2">
        <v>0</v>
      </c>
      <c r="CK165" s="2">
        <v>1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/>
      <c r="CR165" s="2"/>
      <c r="CS165" s="2"/>
      <c r="CT165" s="2"/>
      <c r="CU165" s="2">
        <v>5</v>
      </c>
      <c r="CV165" s="2" t="s">
        <v>146</v>
      </c>
      <c r="CW165" s="2"/>
      <c r="CX165" s="2"/>
    </row>
    <row r="166" ht="46" customHeight="1" spans="1:102">
      <c r="A166" s="2" t="s">
        <v>518</v>
      </c>
      <c r="B166" s="2">
        <v>166</v>
      </c>
      <c r="C166" s="2" t="s">
        <v>286</v>
      </c>
      <c r="D166" s="2">
        <v>1</v>
      </c>
      <c r="E166" s="2">
        <v>1</v>
      </c>
      <c r="F166" s="2">
        <v>923</v>
      </c>
      <c r="G166" s="2" t="s">
        <v>11</v>
      </c>
      <c r="H166" s="2" t="s">
        <v>24</v>
      </c>
      <c r="I166" s="2" t="s">
        <v>28</v>
      </c>
      <c r="J166" s="2" t="s">
        <v>35</v>
      </c>
      <c r="K166" s="2" t="s">
        <v>44</v>
      </c>
      <c r="L166" s="2">
        <v>1</v>
      </c>
      <c r="M166" s="2" t="s">
        <v>43</v>
      </c>
      <c r="N166" s="2" t="s">
        <v>287</v>
      </c>
      <c r="O166" s="2">
        <v>0</v>
      </c>
      <c r="P166" s="2" t="s">
        <v>301</v>
      </c>
      <c r="Q166" s="2">
        <v>0</v>
      </c>
      <c r="R166" s="2">
        <v>0</v>
      </c>
      <c r="S166" s="2">
        <v>0</v>
      </c>
      <c r="T166" s="2">
        <v>1</v>
      </c>
      <c r="U166" s="2">
        <v>0</v>
      </c>
      <c r="V166" s="2" t="s">
        <v>293</v>
      </c>
      <c r="W166" s="2" t="s">
        <v>395</v>
      </c>
      <c r="X166" s="2" t="s">
        <v>84</v>
      </c>
      <c r="Y166" s="2">
        <v>1</v>
      </c>
      <c r="Z166" s="2">
        <v>0</v>
      </c>
      <c r="AA166" s="2">
        <v>0</v>
      </c>
      <c r="AB166" s="2">
        <v>1</v>
      </c>
      <c r="AC166" s="2">
        <v>1</v>
      </c>
      <c r="AD166" s="2">
        <v>1</v>
      </c>
      <c r="AE166" s="2">
        <v>0</v>
      </c>
      <c r="AF166" s="2">
        <v>0</v>
      </c>
      <c r="AG166" s="2">
        <v>1</v>
      </c>
      <c r="AH166" s="2">
        <v>0</v>
      </c>
      <c r="AI166" s="2">
        <v>0</v>
      </c>
      <c r="AJ166" s="2">
        <v>0</v>
      </c>
      <c r="AK166" s="2">
        <v>1</v>
      </c>
      <c r="AL166" s="2">
        <v>0</v>
      </c>
      <c r="AM166" s="2">
        <v>0</v>
      </c>
      <c r="AN166" s="2">
        <v>0</v>
      </c>
      <c r="AO166" s="2">
        <v>0</v>
      </c>
      <c r="AP166" s="2">
        <v>1</v>
      </c>
      <c r="AQ166" s="2">
        <v>1</v>
      </c>
      <c r="AR166" s="2">
        <v>0</v>
      </c>
      <c r="AS166" s="2">
        <v>0</v>
      </c>
      <c r="AT166" s="2">
        <v>1</v>
      </c>
      <c r="AU166" s="2">
        <v>1</v>
      </c>
      <c r="AV166" s="2">
        <v>0</v>
      </c>
      <c r="AW166" s="2">
        <v>1</v>
      </c>
      <c r="AX166" s="2">
        <v>1</v>
      </c>
      <c r="AY166" s="2">
        <v>1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1</v>
      </c>
      <c r="BG166" s="2">
        <v>1</v>
      </c>
      <c r="BH166" s="2">
        <v>0</v>
      </c>
      <c r="BI166" s="2">
        <v>0</v>
      </c>
      <c r="BJ166" s="2">
        <v>0</v>
      </c>
      <c r="BK166" s="2">
        <v>1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1</v>
      </c>
      <c r="BU166" s="2">
        <v>1</v>
      </c>
      <c r="BV166" s="2">
        <v>1</v>
      </c>
      <c r="BW166" s="2">
        <v>1</v>
      </c>
      <c r="BX166" s="2">
        <v>1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>
        <v>2</v>
      </c>
      <c r="CR166" s="2" t="s">
        <v>143</v>
      </c>
      <c r="CS166" s="2">
        <v>3</v>
      </c>
      <c r="CT166" s="2" t="s">
        <v>47</v>
      </c>
      <c r="CU166" s="2">
        <v>4</v>
      </c>
      <c r="CV166" s="2" t="s">
        <v>145</v>
      </c>
      <c r="CW166" s="2">
        <v>5</v>
      </c>
      <c r="CX166" s="2" t="s">
        <v>146</v>
      </c>
    </row>
    <row r="167" ht="46" customHeight="1" spans="1:102">
      <c r="A167" s="2" t="s">
        <v>519</v>
      </c>
      <c r="B167" s="2">
        <v>167</v>
      </c>
      <c r="C167" s="2" t="s">
        <v>286</v>
      </c>
      <c r="D167" s="2">
        <v>1</v>
      </c>
      <c r="E167" s="2">
        <v>1</v>
      </c>
      <c r="F167" s="2">
        <v>225</v>
      </c>
      <c r="G167" s="2" t="s">
        <v>11</v>
      </c>
      <c r="H167" s="2" t="s">
        <v>24</v>
      </c>
      <c r="I167" s="2" t="s">
        <v>30</v>
      </c>
      <c r="J167" s="2" t="s">
        <v>37</v>
      </c>
      <c r="K167" s="2" t="s">
        <v>42</v>
      </c>
      <c r="L167" s="2">
        <v>1</v>
      </c>
      <c r="M167" s="2" t="s">
        <v>43</v>
      </c>
      <c r="N167" s="2" t="s">
        <v>287</v>
      </c>
      <c r="O167" s="2">
        <v>0</v>
      </c>
      <c r="P167" s="2" t="s">
        <v>520</v>
      </c>
      <c r="Q167" s="2">
        <v>0</v>
      </c>
      <c r="R167" s="2">
        <v>0</v>
      </c>
      <c r="S167" s="2">
        <v>1</v>
      </c>
      <c r="T167" s="2">
        <v>0</v>
      </c>
      <c r="U167" s="2">
        <v>1</v>
      </c>
      <c r="V167" s="2" t="s">
        <v>293</v>
      </c>
      <c r="W167" s="2" t="s">
        <v>319</v>
      </c>
      <c r="X167" s="2" t="s">
        <v>84</v>
      </c>
      <c r="Y167" s="2">
        <v>1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1</v>
      </c>
      <c r="AH167" s="2">
        <v>1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</v>
      </c>
      <c r="AR167" s="2">
        <v>0</v>
      </c>
      <c r="AS167" s="2">
        <v>0</v>
      </c>
      <c r="AT167" s="2">
        <v>0</v>
      </c>
      <c r="AU167" s="2">
        <v>1</v>
      </c>
      <c r="AV167" s="2">
        <v>0</v>
      </c>
      <c r="AW167" s="2">
        <v>0</v>
      </c>
      <c r="AX167" s="2">
        <v>1</v>
      </c>
      <c r="AY167" s="2">
        <v>0</v>
      </c>
      <c r="AZ167" s="2">
        <v>1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>
        <v>1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1</v>
      </c>
      <c r="CD167" s="2">
        <v>0</v>
      </c>
      <c r="CE167" s="2">
        <v>0</v>
      </c>
      <c r="CF167" s="2">
        <v>1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1</v>
      </c>
      <c r="CP167" s="2">
        <v>0</v>
      </c>
      <c r="CQ167" s="2"/>
      <c r="CR167" s="2"/>
      <c r="CS167" s="2"/>
      <c r="CT167" s="2"/>
      <c r="CU167" s="2"/>
      <c r="CV167" s="2"/>
      <c r="CW167" s="2"/>
      <c r="CX167" s="2"/>
    </row>
    <row r="168" ht="46" customHeight="1" spans="1:102">
      <c r="A168" s="2" t="s">
        <v>521</v>
      </c>
      <c r="B168" s="2">
        <v>168</v>
      </c>
      <c r="C168" s="2" t="s">
        <v>286</v>
      </c>
      <c r="D168" s="2">
        <v>1</v>
      </c>
      <c r="E168" s="2">
        <v>1</v>
      </c>
      <c r="F168" s="2">
        <v>372</v>
      </c>
      <c r="G168" s="2" t="s">
        <v>9</v>
      </c>
      <c r="H168" s="2" t="s">
        <v>24</v>
      </c>
      <c r="I168" s="2" t="s">
        <v>28</v>
      </c>
      <c r="J168" s="2" t="s">
        <v>35</v>
      </c>
      <c r="K168" s="2" t="s">
        <v>42</v>
      </c>
      <c r="L168" s="2">
        <v>1</v>
      </c>
      <c r="M168" s="2" t="s">
        <v>45</v>
      </c>
      <c r="N168" s="2" t="s">
        <v>287</v>
      </c>
      <c r="O168" s="2">
        <v>0</v>
      </c>
      <c r="P168" s="2" t="s">
        <v>522</v>
      </c>
      <c r="Q168" s="2">
        <v>0</v>
      </c>
      <c r="R168" s="2">
        <v>0</v>
      </c>
      <c r="S168" s="2">
        <v>0</v>
      </c>
      <c r="T168" s="2">
        <v>1</v>
      </c>
      <c r="U168" s="2">
        <v>1</v>
      </c>
      <c r="V168" s="2" t="s">
        <v>293</v>
      </c>
      <c r="W168" s="2" t="s">
        <v>290</v>
      </c>
      <c r="X168" s="2" t="s">
        <v>84</v>
      </c>
      <c r="Y168" s="2">
        <v>1</v>
      </c>
      <c r="Z168" s="2">
        <v>0</v>
      </c>
      <c r="AA168" s="2">
        <v>0</v>
      </c>
      <c r="AB168" s="2">
        <v>1</v>
      </c>
      <c r="AC168" s="2">
        <v>0</v>
      </c>
      <c r="AD168" s="2">
        <v>1</v>
      </c>
      <c r="AE168" s="2">
        <v>0</v>
      </c>
      <c r="AF168" s="2">
        <v>0</v>
      </c>
      <c r="AG168" s="2">
        <v>1</v>
      </c>
      <c r="AH168" s="2">
        <v>1</v>
      </c>
      <c r="AI168" s="2">
        <v>0</v>
      </c>
      <c r="AJ168" s="2">
        <v>1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1</v>
      </c>
      <c r="AQ168" s="2">
        <v>0</v>
      </c>
      <c r="AR168" s="2"/>
      <c r="AS168" s="2"/>
      <c r="AT168" s="2"/>
      <c r="AU168" s="2"/>
      <c r="AV168" s="2"/>
      <c r="AW168" s="2"/>
      <c r="AX168" s="2">
        <v>1</v>
      </c>
      <c r="AY168" s="2">
        <v>0</v>
      </c>
      <c r="AZ168" s="2">
        <v>1</v>
      </c>
      <c r="BA168" s="2">
        <v>0</v>
      </c>
      <c r="BB168" s="2">
        <v>0</v>
      </c>
      <c r="BC168" s="2">
        <v>0</v>
      </c>
      <c r="BD168" s="2">
        <v>1</v>
      </c>
      <c r="BE168" s="2">
        <v>0</v>
      </c>
      <c r="BF168" s="2">
        <v>0</v>
      </c>
      <c r="BG168" s="2">
        <v>0</v>
      </c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>
        <v>1</v>
      </c>
      <c r="BV168" s="2">
        <v>0</v>
      </c>
      <c r="BW168" s="2">
        <v>0</v>
      </c>
      <c r="BX168" s="2">
        <v>1</v>
      </c>
      <c r="BY168" s="2">
        <v>0</v>
      </c>
      <c r="BZ168" s="2">
        <v>0</v>
      </c>
      <c r="CA168" s="2">
        <v>1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 t="s">
        <v>296</v>
      </c>
      <c r="CS168" s="2">
        <v>3</v>
      </c>
      <c r="CT168" s="2" t="s">
        <v>47</v>
      </c>
      <c r="CU168" s="2"/>
      <c r="CV168" s="2" t="s">
        <v>296</v>
      </c>
      <c r="CW168" s="2"/>
      <c r="CX168" s="2" t="s">
        <v>296</v>
      </c>
    </row>
    <row r="169" ht="46" customHeight="1" spans="1:102">
      <c r="A169" s="2" t="s">
        <v>523</v>
      </c>
      <c r="B169" s="2">
        <v>169</v>
      </c>
      <c r="C169" s="2" t="s">
        <v>286</v>
      </c>
      <c r="D169" s="2">
        <v>1</v>
      </c>
      <c r="E169" s="2">
        <v>1</v>
      </c>
      <c r="F169" s="2">
        <v>283</v>
      </c>
      <c r="G169" s="2" t="s">
        <v>7</v>
      </c>
      <c r="H169" s="2" t="s">
        <v>23</v>
      </c>
      <c r="I169" s="2" t="s">
        <v>30</v>
      </c>
      <c r="J169" s="2" t="s">
        <v>34</v>
      </c>
      <c r="K169" s="2" t="s">
        <v>44</v>
      </c>
      <c r="L169" s="2">
        <v>1</v>
      </c>
      <c r="M169" s="2" t="s">
        <v>45</v>
      </c>
      <c r="N169" s="2" t="s">
        <v>86</v>
      </c>
      <c r="O169" s="2">
        <v>0</v>
      </c>
      <c r="P169" s="2" t="s">
        <v>301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  <c r="V169" s="2" t="s">
        <v>324</v>
      </c>
      <c r="W169" s="2" t="s">
        <v>325</v>
      </c>
      <c r="X169" s="2" t="s">
        <v>86</v>
      </c>
      <c r="Y169" s="2">
        <v>1</v>
      </c>
      <c r="Z169" s="2">
        <v>1</v>
      </c>
      <c r="AA169" s="2">
        <v>0</v>
      </c>
      <c r="AB169" s="2">
        <v>1</v>
      </c>
      <c r="AC169" s="2">
        <v>1</v>
      </c>
      <c r="AD169" s="2">
        <v>0</v>
      </c>
      <c r="AE169" s="2">
        <v>1</v>
      </c>
      <c r="AF169" s="2">
        <v>0</v>
      </c>
      <c r="AG169" s="2">
        <v>1</v>
      </c>
      <c r="AH169" s="2">
        <v>1</v>
      </c>
      <c r="AI169" s="2">
        <v>0</v>
      </c>
      <c r="AJ169" s="2">
        <v>1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1</v>
      </c>
      <c r="AQ169" s="2">
        <v>0</v>
      </c>
      <c r="AR169" s="2"/>
      <c r="AS169" s="2"/>
      <c r="AT169" s="2"/>
      <c r="AU169" s="2"/>
      <c r="AV169" s="2"/>
      <c r="AW169" s="2"/>
      <c r="AX169" s="2">
        <v>0</v>
      </c>
      <c r="AY169" s="2"/>
      <c r="AZ169" s="2"/>
      <c r="BA169" s="2"/>
      <c r="BB169" s="2"/>
      <c r="BC169" s="2"/>
      <c r="BD169" s="2"/>
      <c r="BE169" s="2"/>
      <c r="BF169" s="2"/>
      <c r="BG169" s="2">
        <v>0</v>
      </c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>
        <v>1</v>
      </c>
      <c r="BV169" s="2">
        <v>1</v>
      </c>
      <c r="BW169" s="2">
        <v>1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</v>
      </c>
      <c r="CE169" s="2">
        <v>0</v>
      </c>
      <c r="CF169" s="2">
        <v>0</v>
      </c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>
        <v>4</v>
      </c>
      <c r="CX169" s="2" t="s">
        <v>145</v>
      </c>
    </row>
    <row r="170" ht="46" customHeight="1" spans="1:102">
      <c r="A170" s="2" t="s">
        <v>524</v>
      </c>
      <c r="B170" s="2">
        <v>170</v>
      </c>
      <c r="C170" s="2" t="s">
        <v>286</v>
      </c>
      <c r="D170" s="2">
        <v>1</v>
      </c>
      <c r="E170" s="2">
        <v>1</v>
      </c>
      <c r="F170" s="2">
        <v>399</v>
      </c>
      <c r="G170" s="2" t="s">
        <v>7</v>
      </c>
      <c r="H170" s="2" t="s">
        <v>24</v>
      </c>
      <c r="I170" s="2" t="s">
        <v>28</v>
      </c>
      <c r="J170" s="2" t="s">
        <v>35</v>
      </c>
      <c r="K170" s="2" t="s">
        <v>42</v>
      </c>
      <c r="L170" s="2">
        <v>1</v>
      </c>
      <c r="M170" s="2" t="s">
        <v>45</v>
      </c>
      <c r="N170" s="2" t="s">
        <v>287</v>
      </c>
      <c r="O170" s="2">
        <v>0</v>
      </c>
      <c r="P170" s="2" t="s">
        <v>288</v>
      </c>
      <c r="Q170" s="2">
        <v>0</v>
      </c>
      <c r="R170" s="2">
        <v>0</v>
      </c>
      <c r="S170" s="2">
        <v>0</v>
      </c>
      <c r="T170" s="2">
        <v>1</v>
      </c>
      <c r="U170" s="2">
        <v>1</v>
      </c>
      <c r="V170" s="2" t="s">
        <v>293</v>
      </c>
      <c r="W170" s="2" t="s">
        <v>319</v>
      </c>
      <c r="X170" s="2" t="s">
        <v>84</v>
      </c>
      <c r="Y170" s="2">
        <v>1</v>
      </c>
      <c r="Z170" s="2">
        <v>0</v>
      </c>
      <c r="AA170" s="2">
        <v>0</v>
      </c>
      <c r="AB170" s="2">
        <v>1</v>
      </c>
      <c r="AC170" s="2">
        <v>0</v>
      </c>
      <c r="AD170" s="2">
        <v>1</v>
      </c>
      <c r="AE170" s="2">
        <v>0</v>
      </c>
      <c r="AF170" s="2">
        <v>0</v>
      </c>
      <c r="AG170" s="2">
        <v>1</v>
      </c>
      <c r="AH170" s="2">
        <v>1</v>
      </c>
      <c r="AI170" s="2">
        <v>0</v>
      </c>
      <c r="AJ170" s="2">
        <v>0</v>
      </c>
      <c r="AK170" s="2">
        <v>1</v>
      </c>
      <c r="AL170" s="2">
        <v>0</v>
      </c>
      <c r="AM170" s="2">
        <v>0</v>
      </c>
      <c r="AN170" s="2">
        <v>1</v>
      </c>
      <c r="AO170" s="2">
        <v>0</v>
      </c>
      <c r="AP170" s="2">
        <v>0</v>
      </c>
      <c r="AQ170" s="2">
        <v>0</v>
      </c>
      <c r="AR170" s="2"/>
      <c r="AS170" s="2"/>
      <c r="AT170" s="2"/>
      <c r="AU170" s="2"/>
      <c r="AV170" s="2"/>
      <c r="AW170" s="2"/>
      <c r="AX170" s="2">
        <v>1</v>
      </c>
      <c r="AY170" s="2">
        <v>1</v>
      </c>
      <c r="AZ170" s="2">
        <v>0</v>
      </c>
      <c r="BA170" s="2">
        <v>0</v>
      </c>
      <c r="BB170" s="2">
        <v>0</v>
      </c>
      <c r="BC170" s="2">
        <v>1</v>
      </c>
      <c r="BD170" s="2">
        <v>1</v>
      </c>
      <c r="BE170" s="2">
        <v>0</v>
      </c>
      <c r="BF170" s="2">
        <v>0</v>
      </c>
      <c r="BG170" s="2">
        <v>0</v>
      </c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>
        <v>1</v>
      </c>
      <c r="BV170" s="2">
        <v>1</v>
      </c>
      <c r="BW170" s="2">
        <v>0</v>
      </c>
      <c r="BX170" s="2">
        <v>1</v>
      </c>
      <c r="BY170" s="2">
        <v>0</v>
      </c>
      <c r="BZ170" s="2">
        <v>0</v>
      </c>
      <c r="CA170" s="2">
        <v>0</v>
      </c>
      <c r="CB170" s="2">
        <v>0</v>
      </c>
      <c r="CC170" s="2">
        <v>1</v>
      </c>
      <c r="CD170" s="2">
        <v>0</v>
      </c>
      <c r="CE170" s="2">
        <v>0</v>
      </c>
      <c r="CF170" s="2">
        <v>0</v>
      </c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>
        <v>5</v>
      </c>
      <c r="CR170" s="2" t="s">
        <v>146</v>
      </c>
      <c r="CS170" s="2">
        <v>1</v>
      </c>
      <c r="CT170" s="2" t="s">
        <v>141</v>
      </c>
      <c r="CU170" s="2">
        <v>4</v>
      </c>
      <c r="CV170" s="2" t="s">
        <v>145</v>
      </c>
      <c r="CW170" s="2">
        <v>3</v>
      </c>
      <c r="CX170" s="2" t="s">
        <v>47</v>
      </c>
    </row>
    <row r="171" ht="46" customHeight="1" spans="1:102">
      <c r="A171" s="2" t="s">
        <v>525</v>
      </c>
      <c r="B171" s="2">
        <v>171</v>
      </c>
      <c r="C171" s="2" t="s">
        <v>286</v>
      </c>
      <c r="D171" s="2">
        <v>1</v>
      </c>
      <c r="E171" s="2">
        <v>1</v>
      </c>
      <c r="F171" s="2">
        <v>445</v>
      </c>
      <c r="G171" s="2" t="s">
        <v>9</v>
      </c>
      <c r="H171" s="2" t="s">
        <v>24</v>
      </c>
      <c r="I171" s="2" t="s">
        <v>28</v>
      </c>
      <c r="J171" s="2" t="s">
        <v>35</v>
      </c>
      <c r="K171" s="2" t="s">
        <v>42</v>
      </c>
      <c r="L171" s="2">
        <v>1</v>
      </c>
      <c r="M171" s="2" t="s">
        <v>45</v>
      </c>
      <c r="N171" s="2" t="s">
        <v>287</v>
      </c>
      <c r="O171" s="2">
        <v>0</v>
      </c>
      <c r="P171" s="2" t="s">
        <v>526</v>
      </c>
      <c r="Q171" s="2">
        <v>0</v>
      </c>
      <c r="R171" s="2">
        <v>0</v>
      </c>
      <c r="S171" s="2">
        <v>0</v>
      </c>
      <c r="T171" s="2">
        <v>1</v>
      </c>
      <c r="U171" s="2">
        <v>0</v>
      </c>
      <c r="V171" s="2" t="s">
        <v>289</v>
      </c>
      <c r="W171" s="2" t="s">
        <v>319</v>
      </c>
      <c r="X171" s="2" t="s">
        <v>83</v>
      </c>
      <c r="Y171" s="2">
        <v>1</v>
      </c>
      <c r="Z171" s="2">
        <v>1</v>
      </c>
      <c r="AA171" s="2">
        <v>0</v>
      </c>
      <c r="AB171" s="2">
        <v>0</v>
      </c>
      <c r="AC171" s="2">
        <v>1</v>
      </c>
      <c r="AD171" s="2">
        <v>0</v>
      </c>
      <c r="AE171" s="2">
        <v>0</v>
      </c>
      <c r="AF171" s="2">
        <v>0</v>
      </c>
      <c r="AG171" s="2">
        <v>1</v>
      </c>
      <c r="AH171" s="2">
        <v>0</v>
      </c>
      <c r="AI171" s="2">
        <v>1</v>
      </c>
      <c r="AJ171" s="2">
        <v>0</v>
      </c>
      <c r="AK171" s="2">
        <v>1</v>
      </c>
      <c r="AL171" s="2">
        <v>0</v>
      </c>
      <c r="AM171" s="2">
        <v>1</v>
      </c>
      <c r="AN171" s="2">
        <v>0</v>
      </c>
      <c r="AO171" s="2">
        <v>0</v>
      </c>
      <c r="AP171" s="2">
        <v>0</v>
      </c>
      <c r="AQ171" s="2">
        <v>0</v>
      </c>
      <c r="AR171" s="2"/>
      <c r="AS171" s="2"/>
      <c r="AT171" s="2"/>
      <c r="AU171" s="2"/>
      <c r="AV171" s="2"/>
      <c r="AW171" s="2"/>
      <c r="AX171" s="2">
        <v>1</v>
      </c>
      <c r="AY171" s="2">
        <v>0</v>
      </c>
      <c r="AZ171" s="2">
        <v>1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1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1</v>
      </c>
      <c r="BT171" s="2">
        <v>0</v>
      </c>
      <c r="BU171" s="2">
        <v>1</v>
      </c>
      <c r="BV171" s="2">
        <v>1</v>
      </c>
      <c r="BW171" s="2">
        <v>1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 t="s">
        <v>527</v>
      </c>
      <c r="CS171" s="2">
        <v>5</v>
      </c>
      <c r="CT171" s="2" t="s">
        <v>146</v>
      </c>
      <c r="CU171" s="2"/>
      <c r="CV171" s="2" t="s">
        <v>528</v>
      </c>
      <c r="CW171" s="2"/>
      <c r="CX171" s="2"/>
    </row>
    <row r="172" ht="46" customHeight="1" spans="1:102">
      <c r="A172" s="2" t="s">
        <v>529</v>
      </c>
      <c r="B172" s="2">
        <v>172</v>
      </c>
      <c r="C172" s="2" t="s">
        <v>286</v>
      </c>
      <c r="D172" s="2">
        <v>1</v>
      </c>
      <c r="E172" s="2">
        <v>1</v>
      </c>
      <c r="F172" s="2">
        <v>473</v>
      </c>
      <c r="G172" s="2" t="s">
        <v>7</v>
      </c>
      <c r="H172" s="2" t="s">
        <v>24</v>
      </c>
      <c r="I172" s="2" t="s">
        <v>30</v>
      </c>
      <c r="J172" s="2" t="s">
        <v>35</v>
      </c>
      <c r="K172" s="2" t="s">
        <v>44</v>
      </c>
      <c r="L172" s="2">
        <v>1</v>
      </c>
      <c r="M172" s="2" t="s">
        <v>45</v>
      </c>
      <c r="N172" s="2" t="s">
        <v>287</v>
      </c>
      <c r="O172" s="2">
        <v>0</v>
      </c>
      <c r="P172" s="2" t="s">
        <v>530</v>
      </c>
      <c r="Q172" s="2">
        <v>0</v>
      </c>
      <c r="R172" s="2">
        <v>1</v>
      </c>
      <c r="S172" s="2">
        <v>0</v>
      </c>
      <c r="T172" s="2">
        <v>0</v>
      </c>
      <c r="U172" s="2">
        <v>1</v>
      </c>
      <c r="V172" s="2" t="s">
        <v>293</v>
      </c>
      <c r="W172" s="2" t="s">
        <v>290</v>
      </c>
      <c r="X172" s="2" t="s">
        <v>84</v>
      </c>
      <c r="Y172" s="2">
        <v>1</v>
      </c>
      <c r="Z172" s="2">
        <v>0</v>
      </c>
      <c r="AA172" s="2">
        <v>0</v>
      </c>
      <c r="AB172" s="2">
        <v>1</v>
      </c>
      <c r="AC172" s="2">
        <v>0</v>
      </c>
      <c r="AD172" s="2">
        <v>0</v>
      </c>
      <c r="AE172" s="2">
        <v>0</v>
      </c>
      <c r="AF172" s="2">
        <v>0</v>
      </c>
      <c r="AG172" s="2">
        <v>1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1</v>
      </c>
      <c r="AO172" s="2">
        <v>0</v>
      </c>
      <c r="AP172" s="2">
        <v>0</v>
      </c>
      <c r="AQ172" s="2">
        <v>0</v>
      </c>
      <c r="AR172" s="2"/>
      <c r="AS172" s="2"/>
      <c r="AT172" s="2"/>
      <c r="AU172" s="2"/>
      <c r="AV172" s="2"/>
      <c r="AW172" s="2"/>
      <c r="AX172" s="2">
        <v>1</v>
      </c>
      <c r="AY172" s="2">
        <v>0</v>
      </c>
      <c r="AZ172" s="2">
        <v>1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>
        <v>1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1</v>
      </c>
      <c r="CF172" s="2">
        <v>1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1</v>
      </c>
      <c r="CM172" s="2">
        <v>0</v>
      </c>
      <c r="CN172" s="2">
        <v>0</v>
      </c>
      <c r="CO172" s="2">
        <v>0</v>
      </c>
      <c r="CP172" s="2">
        <v>0</v>
      </c>
      <c r="CQ172" s="2">
        <v>5</v>
      </c>
      <c r="CR172" s="2" t="s">
        <v>146</v>
      </c>
      <c r="CS172" s="2">
        <v>5</v>
      </c>
      <c r="CT172" s="2" t="s">
        <v>146</v>
      </c>
      <c r="CU172" s="2">
        <v>5</v>
      </c>
      <c r="CV172" s="2" t="s">
        <v>146</v>
      </c>
      <c r="CW172" s="2">
        <v>5</v>
      </c>
      <c r="CX172" s="2" t="s">
        <v>146</v>
      </c>
    </row>
    <row r="173" ht="46" customHeight="1" spans="1:102">
      <c r="A173" s="2" t="s">
        <v>531</v>
      </c>
      <c r="B173" s="2">
        <v>173</v>
      </c>
      <c r="C173" s="2" t="s">
        <v>286</v>
      </c>
      <c r="D173" s="2">
        <v>1</v>
      </c>
      <c r="E173" s="2">
        <v>1</v>
      </c>
      <c r="F173" s="2">
        <v>441</v>
      </c>
      <c r="G173" s="2" t="s">
        <v>11</v>
      </c>
      <c r="H173" s="2" t="s">
        <v>24</v>
      </c>
      <c r="I173" s="2" t="s">
        <v>28</v>
      </c>
      <c r="J173" s="2" t="s">
        <v>35</v>
      </c>
      <c r="K173" s="2" t="s">
        <v>42</v>
      </c>
      <c r="L173" s="2">
        <v>1</v>
      </c>
      <c r="M173" s="2" t="s">
        <v>43</v>
      </c>
      <c r="N173" s="2" t="s">
        <v>287</v>
      </c>
      <c r="O173" s="2">
        <v>0</v>
      </c>
      <c r="P173" s="2" t="s">
        <v>298</v>
      </c>
      <c r="Q173" s="2">
        <v>0</v>
      </c>
      <c r="R173" s="2">
        <v>0</v>
      </c>
      <c r="S173" s="2">
        <v>0</v>
      </c>
      <c r="T173" s="2">
        <v>0</v>
      </c>
      <c r="U173" s="2">
        <v>1</v>
      </c>
      <c r="V173" s="2" t="s">
        <v>293</v>
      </c>
      <c r="W173" s="2" t="s">
        <v>290</v>
      </c>
      <c r="X173" s="2" t="s">
        <v>84</v>
      </c>
      <c r="Y173" s="2">
        <v>1</v>
      </c>
      <c r="Z173" s="2">
        <v>1</v>
      </c>
      <c r="AA173" s="2">
        <v>0</v>
      </c>
      <c r="AB173" s="2">
        <v>0</v>
      </c>
      <c r="AC173" s="2">
        <v>1</v>
      </c>
      <c r="AD173" s="2">
        <v>1</v>
      </c>
      <c r="AE173" s="2">
        <v>0</v>
      </c>
      <c r="AF173" s="2">
        <v>0</v>
      </c>
      <c r="AG173" s="2">
        <v>1</v>
      </c>
      <c r="AH173" s="2">
        <v>1</v>
      </c>
      <c r="AI173" s="2">
        <v>1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1</v>
      </c>
      <c r="AQ173" s="2">
        <v>1</v>
      </c>
      <c r="AR173" s="2">
        <v>0</v>
      </c>
      <c r="AS173" s="2">
        <v>0</v>
      </c>
      <c r="AT173" s="2">
        <v>0</v>
      </c>
      <c r="AU173" s="2">
        <v>0</v>
      </c>
      <c r="AV173" s="2">
        <v>1</v>
      </c>
      <c r="AW173" s="2">
        <v>0</v>
      </c>
      <c r="AX173" s="2">
        <v>1</v>
      </c>
      <c r="AY173" s="2">
        <v>1</v>
      </c>
      <c r="AZ173" s="2">
        <v>1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>
        <v>1</v>
      </c>
      <c r="BV173" s="2">
        <v>0</v>
      </c>
      <c r="BW173" s="2">
        <v>0</v>
      </c>
      <c r="BX173" s="2">
        <v>1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1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1</v>
      </c>
      <c r="CP173" s="2">
        <v>0</v>
      </c>
      <c r="CQ173" s="2">
        <v>5</v>
      </c>
      <c r="CR173" s="2" t="s">
        <v>146</v>
      </c>
      <c r="CS173" s="2"/>
      <c r="CT173" s="2"/>
      <c r="CU173" s="2"/>
      <c r="CV173" s="2"/>
      <c r="CW173" s="2"/>
      <c r="CX173" s="2"/>
    </row>
    <row r="174" ht="46" customHeight="1" spans="1:102">
      <c r="A174" s="2" t="s">
        <v>532</v>
      </c>
      <c r="B174" s="2">
        <v>174</v>
      </c>
      <c r="C174" s="2" t="s">
        <v>286</v>
      </c>
      <c r="D174" s="2">
        <v>1</v>
      </c>
      <c r="E174" s="2">
        <v>1</v>
      </c>
      <c r="F174" s="2">
        <v>697</v>
      </c>
      <c r="G174" s="2" t="s">
        <v>9</v>
      </c>
      <c r="H174" s="2" t="s">
        <v>23</v>
      </c>
      <c r="I174" s="2" t="s">
        <v>29</v>
      </c>
      <c r="J174" s="2" t="s">
        <v>37</v>
      </c>
      <c r="K174" s="2" t="s">
        <v>50</v>
      </c>
      <c r="L174" s="2">
        <v>1</v>
      </c>
      <c r="M174" s="2" t="s">
        <v>45</v>
      </c>
      <c r="N174" s="2" t="s">
        <v>287</v>
      </c>
      <c r="O174" s="2">
        <v>0</v>
      </c>
      <c r="P174" s="2" t="s">
        <v>301</v>
      </c>
      <c r="Q174" s="2">
        <v>0</v>
      </c>
      <c r="R174" s="2">
        <v>0</v>
      </c>
      <c r="S174" s="2">
        <v>0</v>
      </c>
      <c r="T174" s="2">
        <v>1</v>
      </c>
      <c r="U174" s="2">
        <v>0</v>
      </c>
      <c r="V174" s="2" t="s">
        <v>289</v>
      </c>
      <c r="W174" s="2" t="s">
        <v>294</v>
      </c>
      <c r="X174" s="2" t="s">
        <v>83</v>
      </c>
      <c r="Y174" s="2">
        <v>1</v>
      </c>
      <c r="Z174" s="2">
        <v>1</v>
      </c>
      <c r="AA174" s="2">
        <v>0</v>
      </c>
      <c r="AB174" s="2">
        <v>1</v>
      </c>
      <c r="AC174" s="2">
        <v>0</v>
      </c>
      <c r="AD174" s="2">
        <v>1</v>
      </c>
      <c r="AE174" s="2">
        <v>0</v>
      </c>
      <c r="AF174" s="2">
        <v>0</v>
      </c>
      <c r="AG174" s="2">
        <v>1</v>
      </c>
      <c r="AH174" s="2">
        <v>1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1</v>
      </c>
      <c r="AQ174" s="2">
        <v>0</v>
      </c>
      <c r="AR174" s="2"/>
      <c r="AS174" s="2"/>
      <c r="AT174" s="2"/>
      <c r="AU174" s="2"/>
      <c r="AV174" s="2"/>
      <c r="AW174" s="2"/>
      <c r="AX174" s="2">
        <v>1</v>
      </c>
      <c r="AY174" s="2">
        <v>1</v>
      </c>
      <c r="AZ174" s="2">
        <v>1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1</v>
      </c>
      <c r="BG174" s="2">
        <v>1</v>
      </c>
      <c r="BH174" s="2">
        <v>0</v>
      </c>
      <c r="BI174" s="2">
        <v>0</v>
      </c>
      <c r="BJ174" s="2">
        <v>0</v>
      </c>
      <c r="BK174" s="2">
        <v>1</v>
      </c>
      <c r="BL174" s="2">
        <v>0</v>
      </c>
      <c r="BM174" s="2">
        <v>0</v>
      </c>
      <c r="BN174" s="2">
        <v>0</v>
      </c>
      <c r="BO174" s="2">
        <v>0</v>
      </c>
      <c r="BP174" s="2">
        <v>1</v>
      </c>
      <c r="BQ174" s="2">
        <v>0</v>
      </c>
      <c r="BR174" s="2">
        <v>1</v>
      </c>
      <c r="BS174" s="2">
        <v>1</v>
      </c>
      <c r="BT174" s="2">
        <v>0</v>
      </c>
      <c r="BU174" s="2">
        <v>1</v>
      </c>
      <c r="BV174" s="2">
        <v>1</v>
      </c>
      <c r="BW174" s="2">
        <v>0</v>
      </c>
      <c r="BX174" s="2">
        <v>1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>
        <v>5</v>
      </c>
      <c r="CR174" s="2" t="s">
        <v>146</v>
      </c>
      <c r="CS174" s="2">
        <v>4</v>
      </c>
      <c r="CT174" s="2" t="s">
        <v>145</v>
      </c>
      <c r="CU174" s="2">
        <v>5</v>
      </c>
      <c r="CV174" s="2" t="s">
        <v>146</v>
      </c>
      <c r="CW174" s="2">
        <v>3</v>
      </c>
      <c r="CX174" s="2" t="s">
        <v>47</v>
      </c>
    </row>
    <row r="175" ht="46" customHeight="1" spans="1:102">
      <c r="A175" s="2" t="s">
        <v>533</v>
      </c>
      <c r="B175" s="2">
        <v>175</v>
      </c>
      <c r="C175" s="2" t="s">
        <v>286</v>
      </c>
      <c r="D175" s="2">
        <v>1</v>
      </c>
      <c r="E175" s="2">
        <v>1</v>
      </c>
      <c r="F175" s="2">
        <v>404</v>
      </c>
      <c r="G175" s="2" t="s">
        <v>11</v>
      </c>
      <c r="H175" s="2" t="s">
        <v>24</v>
      </c>
      <c r="I175" s="2" t="s">
        <v>28</v>
      </c>
      <c r="J175" s="2" t="s">
        <v>35</v>
      </c>
      <c r="K175" s="2" t="s">
        <v>42</v>
      </c>
      <c r="L175" s="2">
        <v>1</v>
      </c>
      <c r="M175" s="2" t="s">
        <v>43</v>
      </c>
      <c r="N175" s="2" t="s">
        <v>85</v>
      </c>
      <c r="O175" s="2">
        <v>0</v>
      </c>
      <c r="P175" s="2" t="s">
        <v>301</v>
      </c>
      <c r="Q175" s="2">
        <v>0</v>
      </c>
      <c r="R175" s="2">
        <v>0</v>
      </c>
      <c r="S175" s="2">
        <v>0</v>
      </c>
      <c r="T175" s="2">
        <v>1</v>
      </c>
      <c r="U175" s="2">
        <v>0</v>
      </c>
      <c r="V175" s="2" t="s">
        <v>289</v>
      </c>
      <c r="W175" s="2" t="s">
        <v>299</v>
      </c>
      <c r="X175" s="2" t="s">
        <v>85</v>
      </c>
      <c r="Y175" s="2">
        <v>1</v>
      </c>
      <c r="Z175" s="2">
        <v>0</v>
      </c>
      <c r="AA175" s="2">
        <v>0</v>
      </c>
      <c r="AB175" s="2">
        <v>0</v>
      </c>
      <c r="AC175" s="2">
        <v>0</v>
      </c>
      <c r="AD175" s="2">
        <v>1</v>
      </c>
      <c r="AE175" s="2">
        <v>1</v>
      </c>
      <c r="AF175" s="2">
        <v>0</v>
      </c>
      <c r="AG175" s="2">
        <v>1</v>
      </c>
      <c r="AH175" s="2">
        <v>1</v>
      </c>
      <c r="AI175" s="2">
        <v>1</v>
      </c>
      <c r="AJ175" s="2">
        <v>0</v>
      </c>
      <c r="AK175" s="2">
        <v>0</v>
      </c>
      <c r="AL175" s="2">
        <v>0</v>
      </c>
      <c r="AM175" s="2">
        <v>0</v>
      </c>
      <c r="AN175" s="2">
        <v>1</v>
      </c>
      <c r="AO175" s="2">
        <v>0</v>
      </c>
      <c r="AP175" s="2">
        <v>0</v>
      </c>
      <c r="AQ175" s="2">
        <v>1</v>
      </c>
      <c r="AR175" s="2">
        <v>0</v>
      </c>
      <c r="AS175" s="2">
        <v>0</v>
      </c>
      <c r="AT175" s="2">
        <v>1</v>
      </c>
      <c r="AU175" s="2">
        <v>1</v>
      </c>
      <c r="AV175" s="2">
        <v>0</v>
      </c>
      <c r="AW175" s="2">
        <v>1</v>
      </c>
      <c r="AX175" s="2">
        <v>0</v>
      </c>
      <c r="AY175" s="2"/>
      <c r="AZ175" s="2"/>
      <c r="BA175" s="2"/>
      <c r="BB175" s="2"/>
      <c r="BC175" s="2"/>
      <c r="BD175" s="2"/>
      <c r="BE175" s="2"/>
      <c r="BF175" s="2"/>
      <c r="BG175" s="2">
        <v>0</v>
      </c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>
        <v>1</v>
      </c>
      <c r="BV175" s="2">
        <v>0</v>
      </c>
      <c r="BW175" s="2">
        <v>0</v>
      </c>
      <c r="BX175" s="2">
        <v>1</v>
      </c>
      <c r="BY175" s="2">
        <v>0</v>
      </c>
      <c r="BZ175" s="2">
        <v>0</v>
      </c>
      <c r="CA175" s="2">
        <v>0</v>
      </c>
      <c r="CB175" s="2">
        <v>0</v>
      </c>
      <c r="CC175" s="2">
        <v>1</v>
      </c>
      <c r="CD175" s="2">
        <v>0</v>
      </c>
      <c r="CE175" s="2">
        <v>0</v>
      </c>
      <c r="CF175" s="2">
        <v>0</v>
      </c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>
        <v>4</v>
      </c>
      <c r="CR175" s="2" t="s">
        <v>145</v>
      </c>
      <c r="CS175" s="2">
        <v>5</v>
      </c>
      <c r="CT175" s="2" t="s">
        <v>146</v>
      </c>
      <c r="CU175" s="2">
        <v>3</v>
      </c>
      <c r="CV175" s="2" t="s">
        <v>47</v>
      </c>
      <c r="CW175" s="2">
        <v>3</v>
      </c>
      <c r="CX175" s="2" t="s">
        <v>47</v>
      </c>
    </row>
    <row r="176" ht="46" customHeight="1" spans="1:102">
      <c r="A176" s="2" t="s">
        <v>534</v>
      </c>
      <c r="B176" s="2">
        <v>176</v>
      </c>
      <c r="C176" s="2" t="s">
        <v>286</v>
      </c>
      <c r="D176" s="2">
        <v>1</v>
      </c>
      <c r="E176" s="2">
        <v>1</v>
      </c>
      <c r="F176" s="2">
        <v>489</v>
      </c>
      <c r="G176" s="2" t="s">
        <v>9</v>
      </c>
      <c r="H176" s="2" t="s">
        <v>24</v>
      </c>
      <c r="I176" s="2" t="s">
        <v>30</v>
      </c>
      <c r="J176" s="2" t="s">
        <v>37</v>
      </c>
      <c r="K176" s="2" t="s">
        <v>49</v>
      </c>
      <c r="L176" s="2">
        <v>1</v>
      </c>
      <c r="M176" s="2" t="s">
        <v>43</v>
      </c>
      <c r="N176" s="2" t="s">
        <v>287</v>
      </c>
      <c r="O176" s="2">
        <v>0</v>
      </c>
      <c r="P176" s="2" t="s">
        <v>301</v>
      </c>
      <c r="Q176" s="2">
        <v>0</v>
      </c>
      <c r="R176" s="2">
        <v>0</v>
      </c>
      <c r="S176" s="2">
        <v>0</v>
      </c>
      <c r="T176" s="2">
        <v>1</v>
      </c>
      <c r="U176" s="2">
        <v>0</v>
      </c>
      <c r="V176" s="2" t="s">
        <v>289</v>
      </c>
      <c r="W176" s="2" t="s">
        <v>302</v>
      </c>
      <c r="X176" s="2" t="s">
        <v>83</v>
      </c>
      <c r="Y176" s="2">
        <v>1</v>
      </c>
      <c r="Z176" s="2">
        <v>0</v>
      </c>
      <c r="AA176" s="2">
        <v>0</v>
      </c>
      <c r="AB176" s="2">
        <v>1</v>
      </c>
      <c r="AC176" s="2">
        <v>0</v>
      </c>
      <c r="AD176" s="2">
        <v>1</v>
      </c>
      <c r="AE176" s="2">
        <v>1</v>
      </c>
      <c r="AF176" s="2">
        <v>0</v>
      </c>
      <c r="AG176" s="2">
        <v>1</v>
      </c>
      <c r="AH176" s="2">
        <v>1</v>
      </c>
      <c r="AI176" s="2">
        <v>1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1</v>
      </c>
      <c r="AQ176" s="2">
        <v>1</v>
      </c>
      <c r="AR176" s="2">
        <v>0</v>
      </c>
      <c r="AS176" s="2">
        <v>0</v>
      </c>
      <c r="AT176" s="2">
        <v>1</v>
      </c>
      <c r="AU176" s="2">
        <v>1</v>
      </c>
      <c r="AV176" s="2">
        <v>0</v>
      </c>
      <c r="AW176" s="2">
        <v>1</v>
      </c>
      <c r="AX176" s="2">
        <v>1</v>
      </c>
      <c r="AY176" s="2">
        <v>1</v>
      </c>
      <c r="AZ176" s="2">
        <v>1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1</v>
      </c>
      <c r="BH176" s="2">
        <v>1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1</v>
      </c>
      <c r="BP176" s="2">
        <v>1</v>
      </c>
      <c r="BQ176" s="2">
        <v>0</v>
      </c>
      <c r="BR176" s="2">
        <v>1</v>
      </c>
      <c r="BS176" s="2">
        <v>1</v>
      </c>
      <c r="BT176" s="2">
        <v>1</v>
      </c>
      <c r="BU176" s="2">
        <v>1</v>
      </c>
      <c r="BV176" s="2">
        <v>1</v>
      </c>
      <c r="BW176" s="2">
        <v>1</v>
      </c>
      <c r="BX176" s="2">
        <v>1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1</v>
      </c>
      <c r="CE176" s="2">
        <v>0</v>
      </c>
      <c r="CF176" s="2">
        <v>0</v>
      </c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>
        <v>4</v>
      </c>
      <c r="CR176" s="2" t="s">
        <v>145</v>
      </c>
      <c r="CS176" s="2">
        <v>5</v>
      </c>
      <c r="CT176" s="2" t="s">
        <v>146</v>
      </c>
      <c r="CU176" s="2">
        <v>3</v>
      </c>
      <c r="CV176" s="2" t="s">
        <v>47</v>
      </c>
      <c r="CW176" s="2">
        <v>2</v>
      </c>
      <c r="CX176" s="2" t="s">
        <v>143</v>
      </c>
    </row>
    <row r="177" ht="46" customHeight="1" spans="1:102">
      <c r="A177" s="2" t="s">
        <v>535</v>
      </c>
      <c r="B177" s="2">
        <v>177</v>
      </c>
      <c r="C177" s="2" t="s">
        <v>286</v>
      </c>
      <c r="D177" s="2">
        <v>1</v>
      </c>
      <c r="E177" s="2">
        <v>1</v>
      </c>
      <c r="F177" s="2">
        <v>695</v>
      </c>
      <c r="G177" s="2" t="s">
        <v>11</v>
      </c>
      <c r="H177" s="2" t="s">
        <v>23</v>
      </c>
      <c r="I177" s="2" t="s">
        <v>29</v>
      </c>
      <c r="J177" s="2" t="s">
        <v>34</v>
      </c>
      <c r="K177" s="2" t="s">
        <v>48</v>
      </c>
      <c r="L177" s="2">
        <v>1</v>
      </c>
      <c r="M177" s="2" t="s">
        <v>45</v>
      </c>
      <c r="N177" s="2" t="s">
        <v>287</v>
      </c>
      <c r="O177" s="2">
        <v>0</v>
      </c>
      <c r="P177" s="2" t="s">
        <v>288</v>
      </c>
      <c r="Q177" s="2">
        <v>0</v>
      </c>
      <c r="R177" s="2">
        <v>0</v>
      </c>
      <c r="S177" s="2">
        <v>0</v>
      </c>
      <c r="T177" s="2">
        <v>1</v>
      </c>
      <c r="U177" s="2">
        <v>1</v>
      </c>
      <c r="V177" s="2" t="s">
        <v>289</v>
      </c>
      <c r="W177" s="2" t="s">
        <v>290</v>
      </c>
      <c r="X177" s="2" t="s">
        <v>83</v>
      </c>
      <c r="Y177" s="2">
        <v>1</v>
      </c>
      <c r="Z177" s="2">
        <v>1</v>
      </c>
      <c r="AA177" s="2">
        <v>0</v>
      </c>
      <c r="AB177" s="2">
        <v>1</v>
      </c>
      <c r="AC177" s="2">
        <v>0</v>
      </c>
      <c r="AD177" s="2">
        <v>0</v>
      </c>
      <c r="AE177" s="2">
        <v>1</v>
      </c>
      <c r="AF177" s="2">
        <v>0</v>
      </c>
      <c r="AG177" s="2">
        <v>1</v>
      </c>
      <c r="AH177" s="2">
        <v>1</v>
      </c>
      <c r="AI177" s="2">
        <v>0</v>
      </c>
      <c r="AJ177" s="2">
        <v>0</v>
      </c>
      <c r="AK177" s="2">
        <v>1</v>
      </c>
      <c r="AL177" s="2">
        <v>0</v>
      </c>
      <c r="AM177" s="2">
        <v>0</v>
      </c>
      <c r="AN177" s="2">
        <v>0</v>
      </c>
      <c r="AO177" s="2">
        <v>0</v>
      </c>
      <c r="AP177" s="2">
        <v>1</v>
      </c>
      <c r="AQ177" s="2">
        <v>0</v>
      </c>
      <c r="AR177" s="2"/>
      <c r="AS177" s="2"/>
      <c r="AT177" s="2"/>
      <c r="AU177" s="2"/>
      <c r="AV177" s="2"/>
      <c r="AW177" s="2"/>
      <c r="AX177" s="2">
        <v>1</v>
      </c>
      <c r="AY177" s="2">
        <v>1</v>
      </c>
      <c r="AZ177" s="2">
        <v>1</v>
      </c>
      <c r="BA177" s="2">
        <v>0</v>
      </c>
      <c r="BB177" s="2">
        <v>0</v>
      </c>
      <c r="BC177" s="2">
        <v>0</v>
      </c>
      <c r="BD177" s="2">
        <v>1</v>
      </c>
      <c r="BE177" s="2">
        <v>0</v>
      </c>
      <c r="BF177" s="2">
        <v>1</v>
      </c>
      <c r="BG177" s="2">
        <v>0</v>
      </c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>
        <v>1</v>
      </c>
      <c r="BV177" s="2">
        <v>1</v>
      </c>
      <c r="BW177" s="2">
        <v>0</v>
      </c>
      <c r="BX177" s="2">
        <v>0</v>
      </c>
      <c r="BY177" s="2">
        <v>0</v>
      </c>
      <c r="BZ177" s="2">
        <v>0</v>
      </c>
      <c r="CA177" s="2">
        <v>1</v>
      </c>
      <c r="CB177" s="2">
        <v>1</v>
      </c>
      <c r="CC177" s="2">
        <v>0</v>
      </c>
      <c r="CD177" s="2">
        <v>1</v>
      </c>
      <c r="CE177" s="2">
        <v>0</v>
      </c>
      <c r="CF177" s="2">
        <v>0</v>
      </c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>
        <v>2</v>
      </c>
      <c r="CT177" s="2" t="s">
        <v>143</v>
      </c>
      <c r="CU177" s="2">
        <v>97</v>
      </c>
      <c r="CV177" s="2" t="s">
        <v>536</v>
      </c>
      <c r="CW177" s="2"/>
      <c r="CX177" s="2"/>
    </row>
    <row r="178" ht="25" customHeight="1" spans="1:10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</row>
    <row r="179" ht="25" customHeight="1" spans="1:10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</row>
    <row r="180" ht="32" customHeight="1" spans="1:102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</row>
    <row r="181" ht="25" customHeight="1" spans="1:10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</row>
    <row r="182" ht="32" customHeight="1" spans="1:102">
      <c r="A182" s="1"/>
      <c r="B182" s="1"/>
      <c r="C182" s="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</row>
    <row r="183" ht="58" customHeight="1" spans="1:102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</row>
    <row r="184" ht="58" customHeight="1" spans="1:102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</row>
    <row r="185" ht="58" customHeight="1" spans="1:102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</row>
    <row r="186" ht="58" customHeight="1" spans="1:102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</row>
    <row r="187" ht="58" customHeight="1" spans="1:102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</row>
    <row r="188" ht="58" customHeight="1" spans="1:102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</row>
    <row r="189" ht="58" customHeight="1" spans="1:102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</row>
    <row r="190" ht="58" customHeight="1" spans="1:102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</row>
    <row r="191" ht="58" customHeight="1" spans="1:102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</row>
    <row r="192" ht="58" customHeight="1" spans="1:102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</row>
    <row r="193" ht="58" customHeight="1" spans="1:102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</row>
    <row r="194" ht="58" customHeight="1" spans="1:102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</row>
    <row r="195" ht="58" customHeight="1" spans="1:102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</row>
    <row r="196" ht="58" customHeight="1" spans="1:102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</row>
    <row r="197" ht="58" customHeight="1" spans="1:102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</row>
    <row r="198" ht="58" customHeight="1" spans="1:102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</row>
    <row r="199" ht="58" customHeight="1" spans="1:102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</row>
    <row r="200" ht="58" customHeight="1" spans="1:102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</row>
    <row r="201" ht="25" customHeight="1" spans="1:10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</row>
    <row r="202" ht="25" customHeight="1" spans="1:1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</row>
    <row r="203" ht="25" customHeight="1" spans="1:10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</row>
    <row r="204" ht="32" customHeight="1" spans="1:102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</row>
    <row r="205" ht="40" customHeight="1" spans="1:102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</row>
    <row r="206" ht="40" customHeight="1" spans="1:102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</row>
    <row r="207" ht="40" customHeight="1" spans="1:102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</row>
    <row r="208" ht="40" customHeight="1" spans="1:102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</row>
    <row r="209" ht="40" customHeight="1" spans="1:102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</row>
    <row r="210" ht="40" customHeight="1" spans="1:102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</row>
    <row r="211" ht="40" customHeight="1" spans="1:102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</row>
    <row r="212" ht="40" customHeight="1" spans="1:102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</row>
    <row r="213" ht="40" customHeight="1" spans="1:102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</row>
    <row r="214" ht="40" customHeight="1" spans="1:102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</row>
    <row r="215" ht="40" customHeight="1" spans="1:102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</row>
    <row r="216" ht="40" customHeight="1" spans="1:102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</row>
    <row r="217" ht="40" customHeight="1" spans="1:102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</row>
    <row r="218" ht="40" customHeight="1" spans="1:102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</row>
    <row r="219" ht="40" customHeight="1" spans="1:102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</row>
    <row r="220" ht="40" customHeight="1" spans="1:102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</row>
    <row r="221" ht="40" customHeight="1" spans="1:102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</row>
    <row r="222" ht="40" customHeight="1" spans="1:102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</row>
    <row r="223" ht="40" customHeight="1" spans="1:102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</row>
    <row r="224" ht="40" customHeight="1" spans="1:102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</row>
    <row r="225" ht="40" customHeight="1" spans="1:102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</row>
    <row r="226" ht="40" customHeight="1" spans="1:102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</row>
    <row r="227" ht="40" customHeight="1" spans="1:102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</row>
    <row r="228" ht="40" customHeight="1" spans="1:102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</row>
    <row r="229" ht="40" customHeight="1" spans="1:102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</row>
    <row r="230" ht="40" customHeight="1" spans="1:102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</row>
    <row r="231" ht="40" customHeight="1" spans="1:102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</row>
    <row r="232" ht="40" customHeight="1" spans="1:102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</row>
    <row r="233" ht="40" customHeight="1" spans="1:102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</row>
    <row r="234" ht="40" customHeight="1" spans="1:102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</row>
    <row r="235" ht="40" customHeight="1" spans="1:102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</row>
    <row r="236" ht="40" customHeight="1" spans="1:102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</row>
    <row r="237" ht="40" customHeight="1" spans="1:102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</row>
    <row r="238" ht="40" customHeight="1" spans="1:102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</row>
    <row r="239" ht="40" customHeight="1" spans="1:102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</row>
    <row r="240" ht="40" customHeight="1" spans="1:102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</row>
    <row r="241" ht="40" customHeight="1" spans="1:102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</row>
    <row r="242" ht="40" customHeight="1" spans="1:102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</row>
    <row r="243" ht="40" customHeight="1" spans="1:102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</row>
    <row r="244" ht="40" customHeight="1" spans="1:102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</row>
    <row r="245" ht="40" customHeight="1" spans="1:102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</row>
    <row r="246" ht="40" customHeight="1" spans="1:102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</row>
    <row r="247" ht="40" customHeight="1" spans="1:102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</row>
    <row r="248" ht="40" customHeight="1" spans="1:102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</row>
    <row r="249" ht="40" customHeight="1" spans="1:102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</row>
    <row r="250" ht="40" customHeight="1" spans="1:102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</row>
    <row r="251" ht="40" customHeight="1" spans="1:102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</row>
    <row r="252" ht="40" customHeight="1" spans="1:102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</row>
    <row r="253" ht="40" customHeight="1" spans="1:102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</row>
    <row r="254" ht="40" customHeight="1" spans="1:102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</row>
    <row r="255" ht="40" customHeight="1" spans="1:102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</row>
    <row r="256" ht="40" customHeight="1" spans="1:102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</row>
    <row r="257" ht="40" customHeight="1" spans="1:102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</row>
    <row r="258" ht="40" customHeight="1" spans="1:102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</row>
    <row r="259" ht="40" customHeight="1" spans="1:102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</row>
    <row r="260" ht="40" customHeight="1" spans="1:102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</row>
    <row r="261" ht="40" customHeight="1" spans="1:102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</row>
    <row r="262" ht="40" customHeight="1" spans="1:102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</row>
    <row r="263" ht="40" customHeight="1" spans="1:102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</row>
    <row r="264" ht="40" customHeight="1" spans="1:102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</row>
    <row r="265" ht="40" customHeight="1" spans="1:102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</row>
    <row r="266" ht="40" customHeight="1" spans="1:102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</row>
    <row r="267" ht="40" customHeight="1" spans="1:102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</row>
    <row r="268" ht="40" customHeight="1" spans="1:102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</row>
    <row r="269" ht="40" customHeight="1" spans="1:102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</row>
    <row r="270" ht="40" customHeight="1" spans="1:102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</row>
    <row r="271" ht="40" customHeight="1" spans="1:102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</row>
    <row r="272" ht="40" customHeight="1" spans="1:102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</row>
    <row r="273" ht="40" customHeight="1" spans="1:102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</row>
    <row r="274" ht="40" customHeight="1" spans="1:102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</row>
    <row r="275" ht="40" customHeight="1" spans="1:102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</row>
    <row r="276" ht="40" customHeight="1" spans="1:102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</row>
    <row r="277" ht="40" customHeight="1" spans="1:102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</row>
    <row r="278" ht="40" customHeight="1" spans="1:102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</row>
    <row r="279" ht="40" customHeight="1" spans="1:102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</row>
    <row r="280" ht="40" customHeight="1" spans="1:102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</row>
    <row r="281" ht="40" customHeight="1" spans="1:102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</row>
    <row r="282" ht="40" customHeight="1" spans="1:102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</row>
    <row r="283" ht="40" customHeight="1" spans="1:102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</row>
    <row r="284" ht="40" customHeight="1" spans="1:102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</row>
    <row r="285" ht="40" customHeight="1" spans="1:102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</row>
    <row r="286" ht="40" customHeight="1" spans="1:102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</row>
    <row r="287" ht="40" customHeight="1" spans="1:102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</row>
    <row r="288" ht="40" customHeight="1" spans="1:102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</row>
    <row r="289" ht="40" customHeight="1" spans="1:102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</row>
    <row r="290" ht="40" customHeight="1" spans="1:102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</row>
    <row r="291" ht="40" customHeight="1" spans="1:102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</row>
    <row r="292" ht="40" customHeight="1" spans="1:102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</row>
    <row r="293" ht="40" customHeight="1" spans="1:102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</row>
    <row r="294" ht="40" customHeight="1" spans="1:102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</row>
    <row r="295" ht="40" customHeight="1" spans="1:102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</row>
    <row r="296" ht="40" customHeight="1" spans="1:102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</row>
    <row r="297" ht="40" customHeight="1" spans="1:102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</row>
    <row r="298" ht="40" customHeight="1" spans="1:102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</row>
    <row r="299" ht="40" customHeight="1" spans="1:102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</row>
    <row r="300" ht="40" customHeight="1" spans="1:102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</row>
    <row r="301" ht="40" customHeight="1" spans="1:102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</row>
    <row r="302" ht="40" customHeight="1" spans="1:102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</row>
    <row r="303" ht="40" customHeight="1" spans="1:102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</row>
    <row r="304" ht="40" customHeight="1" spans="1:102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</row>
    <row r="305" ht="40" customHeight="1" spans="1:102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</row>
    <row r="306" ht="40" customHeight="1" spans="1:102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</row>
    <row r="307" ht="25" customHeight="1" spans="1:10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</row>
    <row r="308" ht="25" customHeight="1" spans="1:10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</row>
    <row r="309" ht="25" customHeight="1" spans="1:10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</row>
    <row r="310" ht="25" customHeight="1" spans="1:10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</row>
    <row r="311" ht="25" customHeight="1" spans="1:10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</row>
    <row r="312" ht="25" customHeight="1" spans="1:10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</row>
    <row r="313" ht="25" customHeight="1" spans="1:10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</row>
    <row r="314" ht="25" customHeight="1" spans="1:10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</row>
    <row r="315" ht="25" customHeight="1" spans="1:10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</row>
    <row r="316" ht="25" customHeight="1" spans="1:10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</row>
    <row r="317" ht="25" customHeight="1" spans="1:10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</row>
    <row r="318" ht="25" customHeight="1" spans="1:10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</row>
    <row r="319" ht="25" customHeight="1" spans="1:10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</row>
    <row r="320" ht="25" customHeight="1" spans="1:10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</row>
    <row r="321" ht="25" customHeight="1" spans="1:10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</row>
    <row r="322" ht="25" customHeight="1" spans="1:10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</row>
    <row r="323" ht="25" customHeight="1" spans="1:10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</row>
    <row r="324" ht="25" customHeight="1" spans="1:10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</row>
    <row r="325" ht="25" customHeight="1" spans="1:10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</row>
    <row r="326" ht="25" customHeight="1" spans="1:10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</row>
    <row r="327" ht="25" customHeight="1" spans="1:10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</row>
    <row r="328" ht="25" customHeight="1" spans="1:10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</row>
    <row r="329" ht="25" customHeight="1" spans="1:10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</row>
    <row r="330" ht="25" customHeight="1" spans="1:10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</row>
    <row r="331" ht="25" customHeight="1" spans="1:10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</row>
    <row r="332" ht="25" customHeight="1" spans="1:10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</row>
    <row r="333" ht="25" customHeight="1" spans="1:10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</row>
    <row r="334" ht="25" customHeight="1" spans="1:10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</row>
    <row r="335" ht="25" customHeight="1" spans="1:10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</row>
    <row r="336" ht="25" customHeight="1" spans="1:10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</row>
    <row r="337" ht="25" customHeight="1" spans="1:10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</row>
    <row r="338" ht="25" customHeight="1" spans="1:10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</row>
    <row r="339" ht="25" customHeight="1" spans="1:10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</row>
    <row r="340" ht="25" customHeight="1" spans="1:10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</row>
    <row r="341" ht="25" customHeight="1" spans="1:10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</row>
    <row r="342" ht="25" customHeight="1" spans="1:10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</row>
    <row r="343" ht="25" customHeight="1" spans="1:10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</row>
    <row r="344" ht="25" customHeight="1" spans="1:10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</row>
    <row r="345" ht="25" customHeight="1" spans="1:10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</row>
    <row r="346" ht="25" customHeight="1" spans="1:10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</row>
    <row r="347" ht="25" customHeight="1" spans="1:10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</row>
    <row r="348" ht="25" customHeight="1" spans="1:10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</row>
    <row r="349" ht="25" customHeight="1" spans="1:10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</row>
    <row r="350" ht="25" customHeight="1" spans="1:10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</row>
    <row r="351" ht="25" customHeight="1" spans="1:10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</row>
    <row r="352" ht="25" customHeight="1" spans="1:10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</row>
    <row r="353" ht="25" customHeight="1" spans="1:10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</row>
    <row r="354" ht="25" customHeight="1" spans="1:10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</row>
    <row r="355" ht="25" customHeight="1" spans="1:10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</row>
    <row r="356" ht="25" customHeight="1" spans="1:10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</row>
    <row r="357" ht="25" customHeight="1" spans="1:10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</row>
    <row r="358" ht="25" customHeight="1" spans="1:10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</row>
    <row r="359" ht="25" customHeight="1" spans="1:10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</row>
    <row r="360" ht="25" customHeight="1" spans="1:10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</row>
    <row r="361" ht="25" customHeight="1" spans="1:10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</row>
    <row r="362" ht="25" customHeight="1" spans="1:10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</row>
    <row r="363" ht="25" customHeight="1" spans="1:10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</row>
    <row r="364" ht="25" customHeight="1" spans="1:10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</row>
    <row r="365" ht="25" customHeight="1" spans="1:10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</row>
    <row r="366" ht="25" customHeight="1" spans="1:10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</row>
    <row r="367" ht="25" customHeight="1" spans="1:10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</row>
    <row r="368" ht="25" customHeight="1" spans="1:10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</row>
    <row r="369" ht="25" customHeight="1" spans="1:10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</row>
    <row r="370" ht="25" customHeight="1" spans="1:10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</row>
    <row r="371" ht="25" customHeight="1" spans="1:10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</row>
    <row r="372" ht="25" customHeight="1" spans="1:10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</row>
    <row r="373" ht="25" customHeight="1" spans="1:10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</row>
    <row r="374" ht="25" customHeight="1" spans="1:10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</row>
    <row r="375" ht="25" customHeight="1" spans="1:10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</row>
    <row r="376" ht="25" customHeight="1" spans="1:10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</row>
    <row r="377" ht="25" customHeight="1" spans="1:10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</row>
    <row r="378" ht="25" customHeight="1" spans="1:10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</row>
    <row r="379" ht="25" customHeight="1" spans="1:10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</row>
    <row r="380" ht="25" customHeight="1" spans="1:10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</row>
    <row r="381" ht="25" customHeight="1" spans="1:10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</row>
    <row r="382" ht="25" customHeight="1" spans="1:10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</row>
    <row r="383" ht="25" customHeight="1" spans="1:10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</row>
    <row r="384" ht="25" customHeight="1" spans="1:10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</row>
    <row r="385" ht="25" customHeight="1" spans="1:10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</row>
    <row r="386" ht="25" customHeight="1" spans="1:10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</row>
    <row r="387" ht="25" customHeight="1" spans="1:10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</row>
    <row r="388" ht="25" customHeight="1" spans="1:10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</row>
    <row r="389" ht="25" customHeight="1" spans="1:10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</row>
    <row r="390" ht="25" customHeight="1" spans="1:10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</row>
    <row r="391" ht="25" customHeight="1" spans="1:10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</row>
    <row r="392" ht="25" customHeight="1" spans="1:10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</row>
    <row r="393" ht="25" customHeight="1" spans="1:10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</row>
    <row r="394" ht="25" customHeight="1" spans="1:10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</row>
    <row r="395" ht="25" customHeight="1" spans="1:10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</row>
    <row r="396" ht="25" customHeight="1" spans="1:10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</row>
    <row r="397" ht="25" customHeight="1" spans="1:10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</row>
    <row r="398" ht="25" customHeight="1" spans="1:10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</row>
    <row r="399" ht="25" customHeight="1" spans="1:10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</row>
    <row r="400" ht="25" customHeight="1" spans="1:10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</row>
  </sheetData>
  <autoFilter xmlns:etc="http://www.wps.cn/officeDocument/2017/etCustomData" ref="A1:CX177" etc:filterBottomFollowUsedRange="0">
    <extLst/>
  </autoFilter>
  <mergeCells count="121">
    <mergeCell ref="A180:G180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C191:G191"/>
    <mergeCell ref="C192:G192"/>
    <mergeCell ref="C193:G193"/>
    <mergeCell ref="C194:G194"/>
    <mergeCell ref="C195:G195"/>
    <mergeCell ref="C196:G196"/>
    <mergeCell ref="C197:G197"/>
    <mergeCell ref="C198:G198"/>
    <mergeCell ref="C199:G199"/>
    <mergeCell ref="C200:G200"/>
    <mergeCell ref="B205:G205"/>
    <mergeCell ref="B206:G206"/>
    <mergeCell ref="B207:G207"/>
    <mergeCell ref="B208:G208"/>
    <mergeCell ref="B209:G209"/>
    <mergeCell ref="B210:G210"/>
    <mergeCell ref="B211:G211"/>
    <mergeCell ref="B212:G212"/>
    <mergeCell ref="B213:G213"/>
    <mergeCell ref="B214:G214"/>
    <mergeCell ref="B215:G215"/>
    <mergeCell ref="B216:G216"/>
    <mergeCell ref="B217:G217"/>
    <mergeCell ref="B218:G218"/>
    <mergeCell ref="B219:G219"/>
    <mergeCell ref="B220:G220"/>
    <mergeCell ref="B221:G221"/>
    <mergeCell ref="B222:G222"/>
    <mergeCell ref="B223:G223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B233:G233"/>
    <mergeCell ref="B234:G234"/>
    <mergeCell ref="B235:G235"/>
    <mergeCell ref="B236:G236"/>
    <mergeCell ref="B237:G237"/>
    <mergeCell ref="B238:G238"/>
    <mergeCell ref="B239:G239"/>
    <mergeCell ref="B240:G240"/>
    <mergeCell ref="B241:G241"/>
    <mergeCell ref="B242:G242"/>
    <mergeCell ref="B243:G243"/>
    <mergeCell ref="B244:G244"/>
    <mergeCell ref="B245:G245"/>
    <mergeCell ref="B246:G246"/>
    <mergeCell ref="B247:G247"/>
    <mergeCell ref="B248:G248"/>
    <mergeCell ref="B249:G249"/>
    <mergeCell ref="B250:G250"/>
    <mergeCell ref="B251:G251"/>
    <mergeCell ref="B252:G252"/>
    <mergeCell ref="B253:G253"/>
    <mergeCell ref="B254:G254"/>
    <mergeCell ref="B255:G255"/>
    <mergeCell ref="B256:G256"/>
    <mergeCell ref="B257:G257"/>
    <mergeCell ref="B258:G258"/>
    <mergeCell ref="B259:G259"/>
    <mergeCell ref="B260:G260"/>
    <mergeCell ref="B261:G261"/>
    <mergeCell ref="B262:G262"/>
    <mergeCell ref="B263:G263"/>
    <mergeCell ref="B264:G264"/>
    <mergeCell ref="B265:G265"/>
    <mergeCell ref="B266:G266"/>
    <mergeCell ref="B267:G267"/>
    <mergeCell ref="B268:G268"/>
    <mergeCell ref="B269:G269"/>
    <mergeCell ref="B270:G270"/>
    <mergeCell ref="B271:G271"/>
    <mergeCell ref="B272:G272"/>
    <mergeCell ref="B273:G273"/>
    <mergeCell ref="B274:G274"/>
    <mergeCell ref="B275:G275"/>
    <mergeCell ref="B276:G276"/>
    <mergeCell ref="B277:G277"/>
    <mergeCell ref="B278:G278"/>
    <mergeCell ref="B279:G279"/>
    <mergeCell ref="B280:G280"/>
    <mergeCell ref="B281:G281"/>
    <mergeCell ref="B282:G282"/>
    <mergeCell ref="B283:G283"/>
    <mergeCell ref="B284:G284"/>
    <mergeCell ref="B285:G285"/>
    <mergeCell ref="B286:G286"/>
    <mergeCell ref="B287:G287"/>
    <mergeCell ref="B288:G288"/>
    <mergeCell ref="B289:G289"/>
    <mergeCell ref="B290:G290"/>
    <mergeCell ref="B291:G291"/>
    <mergeCell ref="B292:G292"/>
    <mergeCell ref="B293:G293"/>
    <mergeCell ref="B294:G294"/>
    <mergeCell ref="B295:G295"/>
    <mergeCell ref="B296:G296"/>
    <mergeCell ref="B297:G297"/>
    <mergeCell ref="B298:G298"/>
    <mergeCell ref="B299:G299"/>
    <mergeCell ref="B300:G300"/>
    <mergeCell ref="B301:G301"/>
    <mergeCell ref="B302:G302"/>
    <mergeCell ref="B303:G303"/>
    <mergeCell ref="B304:G304"/>
    <mergeCell ref="B305:G305"/>
    <mergeCell ref="B306:G30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基本信息统计</vt:lpstr>
      <vt:lpstr>购买及闲置行为</vt:lpstr>
      <vt:lpstr>交易痛点</vt:lpstr>
      <vt:lpstr>功能意向</vt:lpstr>
      <vt:lpstr>用户分群</vt:lpstr>
      <vt:lpstr>数据清洗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y.</cp:lastModifiedBy>
  <dcterms:created xsi:type="dcterms:W3CDTF">2026-09-25T08:09:32Z</dcterms:created>
  <dcterms:modified xsi:type="dcterms:W3CDTF">2026-09-25T08:37:02Z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837B10EE3E9445DC9D651A7F94C4412B_13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